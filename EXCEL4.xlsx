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 KOTA\Downloads\"/>
    </mc:Choice>
  </mc:AlternateContent>
  <xr:revisionPtr revIDLastSave="0" documentId="13_ncr:1_{A3ED546E-0FB5-4CD0-969B-5AE5A843226B}" xr6:coauthVersionLast="47" xr6:coauthVersionMax="47" xr10:uidLastSave="{00000000-0000-0000-0000-000000000000}"/>
  <bookViews>
    <workbookView xWindow="-108" yWindow="-108" windowWidth="23256" windowHeight="12456" xr2:uid="{650DE3AD-8E4E-43CB-956C-401A098E9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<sst xmlns="http://schemas.openxmlformats.org/spreadsheetml/2006/main" count="116" uniqueCount="38">
  <si>
    <t>OrderID</t>
  </si>
  <si>
    <t>Region</t>
  </si>
  <si>
    <t>Salesperson</t>
  </si>
  <si>
    <t>Product</t>
  </si>
  <si>
    <t>Units</t>
  </si>
  <si>
    <t>Unit Price</t>
  </si>
  <si>
    <t>Total Sales</t>
  </si>
  <si>
    <t>Order Date</t>
  </si>
  <si>
    <t>East</t>
  </si>
  <si>
    <t>Alice</t>
  </si>
  <si>
    <t>Laptop</t>
  </si>
  <si>
    <t>West</t>
  </si>
  <si>
    <t>Bob</t>
  </si>
  <si>
    <t>Monitor</t>
  </si>
  <si>
    <t>Charlie</t>
  </si>
  <si>
    <t>Mouse</t>
  </si>
  <si>
    <t>North</t>
  </si>
  <si>
    <t>Diana</t>
  </si>
  <si>
    <t>South</t>
  </si>
  <si>
    <t>Keyboard</t>
  </si>
  <si>
    <t>EAST</t>
  </si>
  <si>
    <t>ALICE</t>
  </si>
  <si>
    <t>LAPTOP</t>
  </si>
  <si>
    <t>NORTH &amp; MOUSE</t>
  </si>
  <si>
    <t>MONITOR</t>
  </si>
  <si>
    <t>CHARLIE &amp; WEST</t>
  </si>
  <si>
    <t>KEYBOARD &amp; SOUTH</t>
  </si>
  <si>
    <t>COUNT OF UNITS</t>
  </si>
  <si>
    <t>COUNT OF LAPTOPS &gt;50</t>
  </si>
  <si>
    <t>UNITS &amp; BOB</t>
  </si>
  <si>
    <t>UNITS &amp; BOB &amp; EAST</t>
  </si>
  <si>
    <t>TOTAL SALES &amp; MONITOR &amp;UNITS&gt;8</t>
  </si>
  <si>
    <t>TOTAL SALES&amp;LAPTOP&amp;REGION&amp;UNITS&gt;5</t>
  </si>
  <si>
    <t>COUNT OF ORDERS&lt;50</t>
  </si>
  <si>
    <t>MOUSE &amp; SOUTH &amp;UNITS&gt;=12</t>
  </si>
  <si>
    <t>AVERAGE TOTAL SALES &amp;LAPTOP IN ALL REGIONS</t>
  </si>
  <si>
    <t>AVERAGE TOTAL SALES FOR LAPTOP</t>
  </si>
  <si>
    <t>TOTAL UNITS&amp;DIANA&amp;NORTH&amp;KEYBOARD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</si>
</sst>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1FA5-96E4-4CF9-9A1C-6D21F2DCD20E}">
  <dimension ref="A1:K31"/>
  <sheetViews>
    <sheetView tabSelected="1" topLeftCell="C1" workbookViewId="0">
      <selection activeCell="J20" sqref="J20"/>
    </sheetView>
  </sheetViews>
  <sheetFormatPr defaultRowHeight="14.4" x14ac:dyDescent="0.3"/>
  <cols>
    <col min="2" max="2" width="10.6640625" customWidth="1"/>
    <col min="3" max="3" width="14.109375" customWidth="1"/>
    <col min="4" max="4" width="15.44140625" customWidth="1"/>
    <col min="5" max="5" width="13" customWidth="1"/>
    <col min="6" max="6" width="12.109375" customWidth="1"/>
    <col min="7" max="7" width="14.44140625" customWidth="1"/>
    <col min="8" max="8" width="17.5546875" customWidth="1"/>
    <col min="9" max="9" width="3.77734375" customWidth="1"/>
    <col min="10" max="10" width="45.21875" customWidth="1"/>
    <col min="11" max="11" width="74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">
      <c r="A2">
        <v>101</v>
      </c>
      <c r="B2" t="s">
        <v>8</v>
      </c>
      <c r="C2" t="s">
        <v>9</v>
      </c>
      <c r="D2" t="s">
        <v>10</v>
      </c>
      <c r="E2">
        <v>5</v>
      </c>
      <c r="F2">
        <v>550</v>
      </c>
      <c r="G2">
        <v>2750</v>
      </c>
      <c r="H2" s="1">
        <v>45296</v>
      </c>
      <c r="J2" t="s">
        <v>20</v>
      </c>
      <c r="K2">
        <f>SUMIF(B2:B31,"East",G2:G31)</f>
        <v>15939</v>
      </c>
    </row>
    <row r="3" spans="1:11" x14ac:dyDescent="0.3">
      <c r="A3">
        <v>102</v>
      </c>
      <c r="B3" t="s">
        <v>11</v>
      </c>
      <c r="C3" t="s">
        <v>12</v>
      </c>
      <c r="D3" t="s">
        <v>13</v>
      </c>
      <c r="E3">
        <v>8</v>
      </c>
      <c r="F3">
        <v>150</v>
      </c>
      <c r="G3">
        <v>1200</v>
      </c>
      <c r="H3" s="1">
        <v>45297</v>
      </c>
      <c r="J3" t="s">
        <v>21</v>
      </c>
      <c r="K3">
        <f>SUMIF(C2:C31,"ALICE",G2:G31)</f>
        <v>8847</v>
      </c>
    </row>
    <row r="4" spans="1:11" x14ac:dyDescent="0.3">
      <c r="A4">
        <v>103</v>
      </c>
      <c r="B4" t="s">
        <v>8</v>
      </c>
      <c r="C4" t="s">
        <v>14</v>
      </c>
      <c r="D4" t="s">
        <v>15</v>
      </c>
      <c r="E4">
        <v>15</v>
      </c>
      <c r="F4">
        <v>25</v>
      </c>
      <c r="G4">
        <v>375</v>
      </c>
      <c r="H4" s="1">
        <v>45298</v>
      </c>
      <c r="J4" t="s">
        <v>22</v>
      </c>
      <c r="K4">
        <f>COUNTIF(D2:D31,"LAPTOP")</f>
        <v>10</v>
      </c>
    </row>
    <row r="5" spans="1:11" x14ac:dyDescent="0.3">
      <c r="A5">
        <v>104</v>
      </c>
      <c r="B5" t="s">
        <v>16</v>
      </c>
      <c r="C5" t="s">
        <v>17</v>
      </c>
      <c r="D5" t="s">
        <v>10</v>
      </c>
      <c r="E5">
        <v>3</v>
      </c>
      <c r="F5">
        <v>600</v>
      </c>
      <c r="G5">
        <v>1800</v>
      </c>
      <c r="H5" s="1">
        <v>45300</v>
      </c>
      <c r="J5" t="s">
        <v>23</v>
      </c>
      <c r="K5">
        <f>COUNTIFS(B2:B31,"NORTH",D2:D31,"MOUSE")</f>
        <v>2</v>
      </c>
    </row>
    <row r="6" spans="1:11" x14ac:dyDescent="0.3">
      <c r="A6">
        <v>105</v>
      </c>
      <c r="B6" t="s">
        <v>18</v>
      </c>
      <c r="C6" t="s">
        <v>9</v>
      </c>
      <c r="D6" t="s">
        <v>19</v>
      </c>
      <c r="E6">
        <v>10</v>
      </c>
      <c r="F6">
        <v>40</v>
      </c>
      <c r="G6">
        <v>400</v>
      </c>
      <c r="H6" s="1">
        <v>45301</v>
      </c>
      <c r="J6" t="s">
        <v>24</v>
      </c>
      <c r="K6">
        <f>AVERAGEIF(D2:D31,"MONITOR",G2:G31)</f>
        <v>1277.1666666666667</v>
      </c>
    </row>
    <row r="7" spans="1:11" x14ac:dyDescent="0.3">
      <c r="A7">
        <v>106</v>
      </c>
      <c r="B7" t="s">
        <v>8</v>
      </c>
      <c r="C7" t="s">
        <v>12</v>
      </c>
      <c r="D7" t="s">
        <v>10</v>
      </c>
      <c r="E7">
        <v>4</v>
      </c>
      <c r="F7">
        <v>580</v>
      </c>
      <c r="G7">
        <v>2320</v>
      </c>
      <c r="H7" s="1">
        <v>45303</v>
      </c>
      <c r="J7" t="s">
        <v>25</v>
      </c>
      <c r="K7">
        <f>AVERAGEIFS(G2:G31,C2:C31,"CHARLIE",B2:B31,"WEST")</f>
        <v>797.33333333333337</v>
      </c>
    </row>
    <row r="8" spans="1:11" x14ac:dyDescent="0.3">
      <c r="A8">
        <v>107</v>
      </c>
      <c r="B8" t="s">
        <v>11</v>
      </c>
      <c r="C8" t="s">
        <v>14</v>
      </c>
      <c r="D8" t="s">
        <v>13</v>
      </c>
      <c r="E8">
        <v>6</v>
      </c>
      <c r="F8">
        <v>145</v>
      </c>
      <c r="G8">
        <v>870</v>
      </c>
      <c r="H8" s="1">
        <v>45305</v>
      </c>
      <c r="J8" t="s">
        <v>26</v>
      </c>
      <c r="K8">
        <f>SUMIFS(E2:E31,B2:B31,"SOUTH",D2:D31,"KEYBOARD")</f>
        <v>19</v>
      </c>
    </row>
    <row r="9" spans="1:11" x14ac:dyDescent="0.3">
      <c r="A9">
        <v>108</v>
      </c>
      <c r="B9" t="s">
        <v>16</v>
      </c>
      <c r="C9" t="s">
        <v>17</v>
      </c>
      <c r="D9" t="s">
        <v>15</v>
      </c>
      <c r="E9">
        <v>12</v>
      </c>
      <c r="F9">
        <v>30</v>
      </c>
      <c r="G9">
        <v>360</v>
      </c>
      <c r="H9" s="1">
        <v>45306</v>
      </c>
      <c r="J9" s="1" t="s">
        <v>27</v>
      </c>
      <c r="K9">
        <f>COUNTIFS(E2:E31, "&gt;10")</f>
        <v>8</v>
      </c>
    </row>
    <row r="10" spans="1:11" x14ac:dyDescent="0.3">
      <c r="A10">
        <v>109</v>
      </c>
      <c r="B10" t="s">
        <v>18</v>
      </c>
      <c r="C10" t="s">
        <v>9</v>
      </c>
      <c r="D10" t="s">
        <v>13</v>
      </c>
      <c r="E10">
        <v>9</v>
      </c>
      <c r="F10">
        <v>155</v>
      </c>
      <c r="G10">
        <v>1395</v>
      </c>
      <c r="H10" s="1">
        <v>45307</v>
      </c>
      <c r="J10" t="s">
        <v>28</v>
      </c>
      <c r="K10">
        <f>COUNTIFS(D2:D31,"LAPTOP",F2:F31,"&gt;580")</f>
        <v>7</v>
      </c>
    </row>
    <row r="11" spans="1:11" x14ac:dyDescent="0.3">
      <c r="A11">
        <v>110</v>
      </c>
      <c r="B11" t="s">
        <v>8</v>
      </c>
      <c r="C11" t="s">
        <v>12</v>
      </c>
      <c r="D11" t="s">
        <v>19</v>
      </c>
      <c r="E11">
        <v>7</v>
      </c>
      <c r="F11">
        <v>42</v>
      </c>
      <c r="G11">
        <v>294</v>
      </c>
      <c r="H11" s="1">
        <v>45308</v>
      </c>
      <c r="J11" t="s">
        <v>29</v>
      </c>
      <c r="K11">
        <f>AVERAGEIF(C2:C31,"BOB",E2:E31)</f>
        <v>8.625</v>
      </c>
    </row>
    <row r="12" spans="1:11" x14ac:dyDescent="0.3">
      <c r="A12">
        <v>111</v>
      </c>
      <c r="B12" t="s">
        <v>11</v>
      </c>
      <c r="C12" t="s">
        <v>14</v>
      </c>
      <c r="D12" t="s">
        <v>10</v>
      </c>
      <c r="E12">
        <v>2</v>
      </c>
      <c r="F12">
        <v>600</v>
      </c>
      <c r="G12">
        <v>1200</v>
      </c>
      <c r="H12" s="1">
        <v>45309</v>
      </c>
      <c r="J12" t="s">
        <v>30</v>
      </c>
      <c r="K12">
        <f>AVERAGEIFS(E2:E31,C2:C31,"BOB",B2:B31,"EAST")</f>
        <v>8.7142857142857135</v>
      </c>
    </row>
    <row r="13" spans="1:11" x14ac:dyDescent="0.3">
      <c r="A13">
        <v>112</v>
      </c>
      <c r="B13" t="s">
        <v>16</v>
      </c>
      <c r="C13" t="s">
        <v>17</v>
      </c>
      <c r="D13" t="s">
        <v>19</v>
      </c>
      <c r="E13">
        <v>11</v>
      </c>
      <c r="F13">
        <v>39</v>
      </c>
      <c r="G13">
        <v>429</v>
      </c>
      <c r="H13" s="1">
        <v>45310</v>
      </c>
      <c r="J13" t="s">
        <v>31</v>
      </c>
      <c r="K13">
        <f>SUMIFS(G2:G31,D2:D31,"MONITOR",E2:E31,"&gt;8")</f>
        <v>4543</v>
      </c>
    </row>
    <row r="14" spans="1:11" x14ac:dyDescent="0.3">
      <c r="A14">
        <v>113</v>
      </c>
      <c r="B14" t="s">
        <v>18</v>
      </c>
      <c r="C14" t="s">
        <v>9</v>
      </c>
      <c r="D14" t="s">
        <v>10</v>
      </c>
      <c r="E14">
        <v>3</v>
      </c>
      <c r="F14">
        <v>560</v>
      </c>
      <c r="G14">
        <v>1680</v>
      </c>
      <c r="H14" s="1">
        <v>45311</v>
      </c>
      <c r="J14" t="s">
        <v>32</v>
      </c>
      <c r="K14">
        <f>SUMIFS(G2:G31,D2:D31,"LAPTOP",B2:B31,"EAST",E2:E31,"&gt;5")</f>
        <v>7740</v>
      </c>
    </row>
    <row r="15" spans="1:11" x14ac:dyDescent="0.3">
      <c r="A15">
        <v>114</v>
      </c>
      <c r="B15" t="s">
        <v>8</v>
      </c>
      <c r="C15" t="s">
        <v>12</v>
      </c>
      <c r="D15" t="s">
        <v>15</v>
      </c>
      <c r="E15">
        <v>18</v>
      </c>
      <c r="F15">
        <v>28</v>
      </c>
      <c r="G15">
        <v>504</v>
      </c>
      <c r="H15" s="1">
        <v>45312</v>
      </c>
      <c r="J15" t="s">
        <v>33</v>
      </c>
      <c r="K15">
        <f>COUNTIF(F2:F31,"&lt;50")</f>
        <v>14</v>
      </c>
    </row>
    <row r="16" spans="1:11" x14ac:dyDescent="0.3">
      <c r="A16">
        <v>115</v>
      </c>
      <c r="B16" t="s">
        <v>11</v>
      </c>
      <c r="C16" t="s">
        <v>14</v>
      </c>
      <c r="D16" t="s">
        <v>19</v>
      </c>
      <c r="E16">
        <v>5</v>
      </c>
      <c r="F16">
        <v>40</v>
      </c>
      <c r="G16">
        <v>200</v>
      </c>
      <c r="H16" s="1">
        <v>45313</v>
      </c>
      <c r="J16" t="s">
        <v>34</v>
      </c>
      <c r="K16">
        <f>COUNTIFS(D2:D31,"MOUSE",B2:B31,"SOUTH",E2:E31,"&gt;=12")</f>
        <v>2</v>
      </c>
    </row>
    <row r="17" spans="1:11" x14ac:dyDescent="0.3">
      <c r="A17">
        <v>116</v>
      </c>
      <c r="B17" t="s">
        <v>16</v>
      </c>
      <c r="C17" t="s">
        <v>17</v>
      </c>
      <c r="D17" t="s">
        <v>13</v>
      </c>
      <c r="E17">
        <v>7</v>
      </c>
      <c r="F17">
        <v>150</v>
      </c>
      <c r="G17">
        <v>1050</v>
      </c>
      <c r="H17" s="1">
        <v>45314</v>
      </c>
      <c r="J17" t="s">
        <v>36</v>
      </c>
      <c r="K17">
        <f>AVERAGEIFS(G2:G31,D2:D31,"LAPTOP")</f>
        <v>2471.5</v>
      </c>
    </row>
    <row r="18" spans="1:11" x14ac:dyDescent="0.3">
      <c r="A18">
        <v>117</v>
      </c>
      <c r="B18" t="s">
        <v>18</v>
      </c>
      <c r="C18" t="s">
        <v>9</v>
      </c>
      <c r="D18" t="s">
        <v>15</v>
      </c>
      <c r="E18">
        <v>14</v>
      </c>
      <c r="F18">
        <v>26</v>
      </c>
      <c r="G18">
        <v>364</v>
      </c>
      <c r="H18" s="1">
        <v>45315</v>
      </c>
      <c r="J18" t="s">
        <v>35</v>
      </c>
      <c r="K18">
        <f>AVERAGEIFS(G2:G31, D2:D31, "Laptop")</f>
        <v>2471.5</v>
      </c>
    </row>
    <row r="19" spans="1:11" x14ac:dyDescent="0.3">
      <c r="A19">
        <v>118</v>
      </c>
      <c r="B19" t="s">
        <v>8</v>
      </c>
      <c r="C19" t="s">
        <v>12</v>
      </c>
      <c r="D19" t="s">
        <v>10</v>
      </c>
      <c r="E19">
        <v>6</v>
      </c>
      <c r="F19">
        <v>590</v>
      </c>
      <c r="G19">
        <v>3540</v>
      </c>
      <c r="H19" s="1">
        <v>45316</v>
      </c>
      <c r="J19" t="s">
        <v>37</v>
      </c>
      <c r="K19">
        <f>SUMIFS(E2:E31,C2:C31,"DIANA",B2:B31,"NORTH",D2:D31,"KEYBOARD")</f>
        <v>11</v>
      </c>
    </row>
    <row r="20" spans="1:11" x14ac:dyDescent="0.3">
      <c r="A20">
        <v>119</v>
      </c>
      <c r="B20" t="s">
        <v>11</v>
      </c>
      <c r="C20" t="s">
        <v>14</v>
      </c>
      <c r="D20" t="s">
        <v>15</v>
      </c>
      <c r="E20">
        <v>16</v>
      </c>
      <c r="F20">
        <v>27</v>
      </c>
      <c r="G20">
        <v>432</v>
      </c>
      <c r="H20" s="1">
        <v>45317</v>
      </c>
    </row>
    <row r="21" spans="1:11" x14ac:dyDescent="0.3">
      <c r="A21">
        <v>120</v>
      </c>
      <c r="B21" t="s">
        <v>16</v>
      </c>
      <c r="C21" t="s">
        <v>17</v>
      </c>
      <c r="D21" t="s">
        <v>10</v>
      </c>
      <c r="E21">
        <v>4</v>
      </c>
      <c r="F21">
        <v>605</v>
      </c>
      <c r="G21">
        <v>2420</v>
      </c>
      <c r="H21" s="1">
        <v>45318</v>
      </c>
    </row>
    <row r="22" spans="1:11" x14ac:dyDescent="0.3">
      <c r="A22">
        <v>121</v>
      </c>
      <c r="B22" t="s">
        <v>18</v>
      </c>
      <c r="C22" t="s">
        <v>9</v>
      </c>
      <c r="D22" t="s">
        <v>13</v>
      </c>
      <c r="E22">
        <v>10</v>
      </c>
      <c r="F22">
        <v>152</v>
      </c>
      <c r="G22">
        <v>1520</v>
      </c>
      <c r="H22" s="1">
        <v>45319</v>
      </c>
    </row>
    <row r="23" spans="1:11" x14ac:dyDescent="0.3">
      <c r="A23">
        <v>122</v>
      </c>
      <c r="B23" t="s">
        <v>8</v>
      </c>
      <c r="C23" t="s">
        <v>12</v>
      </c>
      <c r="D23" t="s">
        <v>19</v>
      </c>
      <c r="E23">
        <v>8</v>
      </c>
      <c r="F23">
        <v>41</v>
      </c>
      <c r="G23">
        <v>328</v>
      </c>
      <c r="H23" s="1">
        <v>45320</v>
      </c>
    </row>
    <row r="24" spans="1:11" x14ac:dyDescent="0.3">
      <c r="A24">
        <v>123</v>
      </c>
      <c r="B24" t="s">
        <v>11</v>
      </c>
      <c r="C24" t="s">
        <v>14</v>
      </c>
      <c r="D24" t="s">
        <v>10</v>
      </c>
      <c r="E24">
        <v>3</v>
      </c>
      <c r="F24">
        <v>610</v>
      </c>
      <c r="G24">
        <v>1830</v>
      </c>
      <c r="H24" s="1">
        <v>45321</v>
      </c>
    </row>
    <row r="25" spans="1:11" x14ac:dyDescent="0.3">
      <c r="A25">
        <v>124</v>
      </c>
      <c r="B25" t="s">
        <v>16</v>
      </c>
      <c r="C25" t="s">
        <v>17</v>
      </c>
      <c r="D25" t="s">
        <v>15</v>
      </c>
      <c r="E25">
        <v>10</v>
      </c>
      <c r="F25">
        <v>29</v>
      </c>
      <c r="G25">
        <v>290</v>
      </c>
      <c r="H25" s="1">
        <v>45322</v>
      </c>
    </row>
    <row r="26" spans="1:11" x14ac:dyDescent="0.3">
      <c r="A26">
        <v>125</v>
      </c>
      <c r="B26" t="s">
        <v>18</v>
      </c>
      <c r="C26" t="s">
        <v>9</v>
      </c>
      <c r="D26" t="s">
        <v>19</v>
      </c>
      <c r="E26">
        <v>9</v>
      </c>
      <c r="F26">
        <v>43</v>
      </c>
      <c r="G26">
        <v>387</v>
      </c>
      <c r="H26" s="1">
        <v>45323</v>
      </c>
    </row>
    <row r="27" spans="1:11" x14ac:dyDescent="0.3">
      <c r="A27">
        <v>126</v>
      </c>
      <c r="B27" t="s">
        <v>8</v>
      </c>
      <c r="C27" t="s">
        <v>12</v>
      </c>
      <c r="D27" t="s">
        <v>13</v>
      </c>
      <c r="E27">
        <v>11</v>
      </c>
      <c r="F27">
        <v>148</v>
      </c>
      <c r="G27">
        <v>1628</v>
      </c>
      <c r="H27" s="1">
        <v>45324</v>
      </c>
    </row>
    <row r="28" spans="1:11" x14ac:dyDescent="0.3">
      <c r="A28">
        <v>127</v>
      </c>
      <c r="B28" t="s">
        <v>11</v>
      </c>
      <c r="C28" t="s">
        <v>14</v>
      </c>
      <c r="D28" t="s">
        <v>19</v>
      </c>
      <c r="E28">
        <v>6</v>
      </c>
      <c r="F28">
        <v>42</v>
      </c>
      <c r="G28">
        <v>252</v>
      </c>
      <c r="H28" s="1">
        <v>45325</v>
      </c>
    </row>
    <row r="29" spans="1:11" x14ac:dyDescent="0.3">
      <c r="A29">
        <v>128</v>
      </c>
      <c r="B29" t="s">
        <v>16</v>
      </c>
      <c r="C29" t="s">
        <v>17</v>
      </c>
      <c r="D29" t="s">
        <v>10</v>
      </c>
      <c r="E29">
        <v>5</v>
      </c>
      <c r="F29">
        <v>595</v>
      </c>
      <c r="G29">
        <v>2975</v>
      </c>
      <c r="H29" s="1">
        <v>45326</v>
      </c>
    </row>
    <row r="30" spans="1:11" x14ac:dyDescent="0.3">
      <c r="A30">
        <v>129</v>
      </c>
      <c r="B30" t="s">
        <v>18</v>
      </c>
      <c r="C30" t="s">
        <v>9</v>
      </c>
      <c r="D30" t="s">
        <v>15</v>
      </c>
      <c r="E30">
        <v>13</v>
      </c>
      <c r="F30">
        <v>27</v>
      </c>
      <c r="G30">
        <v>351</v>
      </c>
      <c r="H30" s="1">
        <v>45327</v>
      </c>
    </row>
    <row r="31" spans="1:11" x14ac:dyDescent="0.3">
      <c r="A31">
        <v>130</v>
      </c>
      <c r="B31" t="s">
        <v>8</v>
      </c>
      <c r="C31" t="s">
        <v>12</v>
      </c>
      <c r="D31" t="s">
        <v>10</v>
      </c>
      <c r="E31">
        <v>7</v>
      </c>
      <c r="F31">
        <v>600</v>
      </c>
      <c r="G31">
        <v>4200</v>
      </c>
      <c r="H31" s="1">
        <v>45328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kotaalekhya31@outlook.com</dc:creator>
  <cp:lastModifiedBy>kotaalekhya31@outlook.com</cp:lastModifiedBy>
  <dcterms:created xsi:type="dcterms:W3CDTF">2026-02-27T18:14:28Z</dcterms:created>
  <dcterms:modified xsi:type="dcterms:W3CDTF">2026-03-02T11:57:35Z</dcterms:modified>
</cp:coreProperties>
</file>