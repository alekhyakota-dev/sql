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A8098FFC-5486-4CBD-A604-A585C2E5A37B}" xr6:coauthVersionLast="47" xr6:coauthVersionMax="47" xr10:uidLastSave="{00000000-0000-0000-0000-000000000000}"/>
  <bookViews>
    <workbookView xWindow="-108" yWindow="-108" windowWidth="23256" windowHeight="12456" xr2:uid="{FE58328A-CBF6-4CE1-AFCA-E1E5AC298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3" i="1"/>
  <c r="N4" i="1"/>
  <c r="N5" i="1"/>
  <c r="N6" i="1"/>
  <c r="N2" i="1"/>
  <c r="M8" i="1"/>
  <c r="M10" i="1"/>
  <c r="M11" i="1"/>
  <c r="M12" i="1"/>
  <c r="M13" i="1"/>
  <c r="M14" i="1"/>
  <c r="M15" i="1"/>
  <c r="M16" i="1"/>
  <c r="M17" i="1"/>
  <c r="M18" i="1"/>
  <c r="M19" i="1"/>
  <c r="M3" i="1"/>
  <c r="M4" i="1"/>
  <c r="M5" i="1"/>
  <c r="M6" i="1"/>
  <c r="M7" i="1"/>
  <c r="M2" i="1"/>
  <c r="L2" i="1"/>
  <c r="K2" i="1" a="1"/>
  <c r="K2" i="1" s="1"/>
  <c r="J2" i="1" a="1"/>
  <c r="J2" i="1" s="1"/>
  <c r="I2" i="1" a="1"/>
  <c r="I2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<sst xmlns="http://schemas.openxmlformats.org/spreadsheetml/2006/main" count="56" uniqueCount="40">
  <si>
    <t>ID</t>
  </si>
  <si>
    <t>Name</t>
  </si>
  <si>
    <t>Department</t>
  </si>
  <si>
    <t>Salary</t>
  </si>
  <si>
    <t>Bonus</t>
  </si>
  <si>
    <t>Age</t>
  </si>
  <si>
    <t>Joining Date</t>
  </si>
  <si>
    <t>John Smith</t>
  </si>
  <si>
    <t>Sales</t>
  </si>
  <si>
    <t>Emily Davis</t>
  </si>
  <si>
    <t>HR</t>
  </si>
  <si>
    <t>Michael Lee</t>
  </si>
  <si>
    <t>IT</t>
  </si>
  <si>
    <t>Sarah Kim</t>
  </si>
  <si>
    <t>Marketing</t>
  </si>
  <si>
    <t>David Chen</t>
  </si>
  <si>
    <t>Laura White</t>
  </si>
  <si>
    <t>Kevin Brown</t>
  </si>
  <si>
    <t>Anna Scott</t>
  </si>
  <si>
    <t>Ryan Hall</t>
  </si>
  <si>
    <t>Sophia King</t>
  </si>
  <si>
    <t>Paul Allen</t>
  </si>
  <si>
    <t>Mia Carter</t>
  </si>
  <si>
    <t>Jack Wilson</t>
  </si>
  <si>
    <t>Olivia Adams</t>
  </si>
  <si>
    <t>Ethan Clark</t>
  </si>
  <si>
    <t>Grace Lewis</t>
  </si>
  <si>
    <t>Henry Young</t>
  </si>
  <si>
    <t>Lily Moore</t>
  </si>
  <si>
    <t>Chris Evans</t>
  </si>
  <si>
    <t>Ava Turner</t>
  </si>
  <si>
    <t>CONCAT</t>
  </si>
  <si>
    <t>UPPER</t>
  </si>
  <si>
    <t>LOWER</t>
  </si>
  <si>
    <t>LEN</t>
  </si>
  <si>
    <t>REPLACE</t>
  </si>
  <si>
    <t>MID</t>
  </si>
  <si>
    <t>LEFT</t>
  </si>
  <si>
    <t>RIGHT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</si>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</sst>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9366-B081-423C-A73A-E7C4E3506534}">
  <dimension ref="A1:Q21"/>
  <sheetViews>
    <sheetView tabSelected="1" workbookViewId="0">
      <selection activeCell="O4" sqref="O4"/>
    </sheetView>
  </sheetViews>
  <sheetFormatPr defaultRowHeight="14.4" x14ac:dyDescent="0.3"/>
  <cols>
    <col min="2" max="2" width="19.5546875" customWidth="1"/>
    <col min="3" max="3" width="22.77734375" customWidth="1"/>
    <col min="4" max="4" width="19.6640625" customWidth="1"/>
    <col min="5" max="5" width="18" customWidth="1"/>
    <col min="6" max="6" width="13.6640625" customWidth="1"/>
    <col min="7" max="7" width="33.33203125" customWidth="1"/>
    <col min="8" max="8" width="39.77734375" customWidth="1"/>
    <col min="9" max="9" width="22.5546875" customWidth="1"/>
    <col min="10" max="10" width="19.6640625" customWidth="1"/>
    <col min="11" max="11" width="21.109375" customWidth="1"/>
    <col min="12" max="12" width="18.33203125" customWidth="1"/>
    <col min="13" max="13" width="19.6640625" customWidth="1"/>
    <col min="14" max="14" width="19.33203125" customWidth="1"/>
    <col min="15" max="16" width="18.5546875" customWidth="1"/>
    <col min="17" max="17" width="21.21875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/>
    </row>
    <row r="2" spans="1:17" ht="31.2" x14ac:dyDescent="0.3">
      <c r="A2" s="2">
        <v>1</v>
      </c>
      <c r="B2" s="2" t="s">
        <v>7</v>
      </c>
      <c r="C2" s="2" t="s">
        <v>8</v>
      </c>
      <c r="D2" s="2">
        <v>45000</v>
      </c>
      <c r="E2" s="2">
        <v>2000</v>
      </c>
      <c r="F2" s="2">
        <v>29</v>
      </c>
      <c r="G2" s="3">
        <v>43876</v>
      </c>
      <c r="H2" t="str">
        <f>_xlfn.CONCAT(A2," ",B2," ",C2," ",D2," ",E2," ",F2," ")</f>
        <v xml:space="preserve">1 John Smith Sales 45000 2000 29 </v>
      </c>
      <c r="I2" t="str" cm="1">
        <f t="array" ref="I2:I21">UPPER(B2:B21)</f>
        <v>JOHN SMITH</v>
      </c>
      <c r="J2" t="str" cm="1">
        <f t="array" ref="J2:J21">LOWER(C2:C21)</f>
        <v>sales</v>
      </c>
      <c r="K2" cm="1">
        <f t="array" ref="K2:K21">LEN(B2:B21)</f>
        <v>10</v>
      </c>
      <c r="L2" t="str">
        <f>REPLACE(B4,9,3,"Jackson")</f>
        <v>Michael Jackson</v>
      </c>
      <c r="M2" t="str">
        <f>MID(B15,2,5)</f>
        <v>livia</v>
      </c>
      <c r="N2" t="str">
        <f>LEFT(B2,4)</f>
        <v>John</v>
      </c>
      <c r="O2" t="str">
        <f>RIGHT(C5,5)</f>
        <v>eting</v>
      </c>
      <c r="P2" t="str">
        <f>TRIM(B2)</f>
        <v>John Smith</v>
      </c>
    </row>
    <row r="3" spans="1:17" ht="31.2" x14ac:dyDescent="0.3">
      <c r="A3" s="2">
        <v>2</v>
      </c>
      <c r="B3" s="2" t="s">
        <v>9</v>
      </c>
      <c r="C3" s="2" t="s">
        <v>10</v>
      </c>
      <c r="D3" s="2">
        <v>52000</v>
      </c>
      <c r="E3" s="2">
        <v>2500</v>
      </c>
      <c r="F3" s="2">
        <v>34</v>
      </c>
      <c r="G3" s="3">
        <v>43617</v>
      </c>
      <c r="H3" t="str">
        <f t="shared" ref="H3:H21" si="0">_xlfn.CONCAT(A3," ",B3," ",C3," ",D3," ",E3," ",F3," ")</f>
        <v xml:space="preserve">2 Emily Davis HR 52000 2500 34 </v>
      </c>
      <c r="I3" t="str">
        <v>EMILY DAVIS</v>
      </c>
      <c r="J3" t="str">
        <v>hr</v>
      </c>
      <c r="K3">
        <v>11</v>
      </c>
      <c r="M3" t="str">
        <f t="shared" ref="M3:M19" si="1">MID(B16,2,5)</f>
        <v xml:space="preserve">than </v>
      </c>
      <c r="N3" t="str">
        <f t="shared" ref="N3:N6" si="2">LEFT(B3,4)</f>
        <v>Emil</v>
      </c>
    </row>
    <row r="4" spans="1:17" ht="31.2" x14ac:dyDescent="0.3">
      <c r="A4" s="2">
        <v>3</v>
      </c>
      <c r="B4" s="2" t="s">
        <v>11</v>
      </c>
      <c r="C4" s="2" t="s">
        <v>12</v>
      </c>
      <c r="D4" s="2">
        <v>61000</v>
      </c>
      <c r="E4" s="2">
        <v>3000</v>
      </c>
      <c r="F4" s="2">
        <v>41</v>
      </c>
      <c r="G4" s="3">
        <v>43355</v>
      </c>
      <c r="H4" t="str">
        <f t="shared" si="0"/>
        <v xml:space="preserve">3 Michael Lee IT 61000 3000 41 </v>
      </c>
      <c r="I4" t="str">
        <v>MICHAEL LEE</v>
      </c>
      <c r="J4" t="str">
        <v>it</v>
      </c>
      <c r="K4">
        <v>11</v>
      </c>
      <c r="M4" t="str">
        <f t="shared" si="1"/>
        <v xml:space="preserve">race </v>
      </c>
      <c r="N4" t="str">
        <f t="shared" si="2"/>
        <v>Mich</v>
      </c>
    </row>
    <row r="5" spans="1:17" ht="31.2" x14ac:dyDescent="0.3">
      <c r="A5" s="2">
        <v>4</v>
      </c>
      <c r="B5" s="2" t="s">
        <v>13</v>
      </c>
      <c r="C5" s="2" t="s">
        <v>14</v>
      </c>
      <c r="D5" s="2">
        <v>48000</v>
      </c>
      <c r="E5" s="2">
        <v>1800</v>
      </c>
      <c r="F5" s="2">
        <v>26</v>
      </c>
      <c r="G5" s="3">
        <v>44204</v>
      </c>
      <c r="H5" t="str">
        <f t="shared" si="0"/>
        <v xml:space="preserve">4 Sarah Kim Marketing 48000 1800 26 </v>
      </c>
      <c r="I5" t="str">
        <v>SARAH KIM</v>
      </c>
      <c r="J5" t="str">
        <v>marketing</v>
      </c>
      <c r="K5">
        <v>9</v>
      </c>
      <c r="M5" t="str">
        <f t="shared" si="1"/>
        <v xml:space="preserve">enry </v>
      </c>
      <c r="N5" t="str">
        <f t="shared" si="2"/>
        <v>Sara</v>
      </c>
    </row>
    <row r="6" spans="1:17" ht="31.2" x14ac:dyDescent="0.3">
      <c r="A6" s="2">
        <v>5</v>
      </c>
      <c r="B6" s="2" t="s">
        <v>15</v>
      </c>
      <c r="C6" s="2" t="s">
        <v>8</v>
      </c>
      <c r="D6" s="2">
        <v>47000</v>
      </c>
      <c r="E6" s="2">
        <v>2100</v>
      </c>
      <c r="F6" s="2">
        <v>31</v>
      </c>
      <c r="G6" s="3">
        <v>43792</v>
      </c>
      <c r="H6" t="str">
        <f t="shared" si="0"/>
        <v xml:space="preserve">5 David Chen Sales 47000 2100 31 </v>
      </c>
      <c r="I6" t="str">
        <v>DAVID CHEN</v>
      </c>
      <c r="J6" t="str">
        <v>sales</v>
      </c>
      <c r="K6">
        <v>10</v>
      </c>
      <c r="M6" t="str">
        <f t="shared" si="1"/>
        <v>ily M</v>
      </c>
      <c r="N6" t="str">
        <f t="shared" si="2"/>
        <v>Davi</v>
      </c>
    </row>
    <row r="7" spans="1:17" ht="31.2" x14ac:dyDescent="0.3">
      <c r="A7" s="2">
        <v>6</v>
      </c>
      <c r="B7" s="2" t="s">
        <v>16</v>
      </c>
      <c r="C7" s="2" t="s">
        <v>10</v>
      </c>
      <c r="D7" s="2">
        <v>53000</v>
      </c>
      <c r="E7" s="2">
        <v>2700</v>
      </c>
      <c r="F7" s="2">
        <v>38</v>
      </c>
      <c r="G7" s="3">
        <v>42872</v>
      </c>
      <c r="H7" t="str">
        <f t="shared" si="0"/>
        <v xml:space="preserve">6 Laura White HR 53000 2700 38 </v>
      </c>
      <c r="I7" t="str">
        <v>LAURA WHITE</v>
      </c>
      <c r="J7" t="str">
        <v>hr</v>
      </c>
      <c r="K7">
        <v>11</v>
      </c>
      <c r="M7" t="str">
        <f t="shared" si="1"/>
        <v xml:space="preserve">hris </v>
      </c>
    </row>
    <row r="8" spans="1:17" ht="31.2" x14ac:dyDescent="0.3">
      <c r="A8" s="2">
        <v>7</v>
      </c>
      <c r="B8" s="2" t="s">
        <v>17</v>
      </c>
      <c r="C8" s="2" t="s">
        <v>12</v>
      </c>
      <c r="D8" s="2">
        <v>65000</v>
      </c>
      <c r="E8" s="2">
        <v>3500</v>
      </c>
      <c r="F8" s="2">
        <v>44</v>
      </c>
      <c r="G8" s="3">
        <v>42194</v>
      </c>
      <c r="H8" t="str">
        <f t="shared" si="0"/>
        <v xml:space="preserve">7 Kevin Brown IT 65000 3500 44 </v>
      </c>
      <c r="I8" t="str">
        <v>KEVIN BROWN</v>
      </c>
      <c r="J8" t="str">
        <v>it</v>
      </c>
      <c r="K8">
        <v>11</v>
      </c>
      <c r="M8" t="str">
        <f>MID(B21,2,5)</f>
        <v>va Tu</v>
      </c>
    </row>
    <row r="9" spans="1:17" ht="31.2" x14ac:dyDescent="0.3">
      <c r="A9" s="2">
        <v>8</v>
      </c>
      <c r="B9" s="2" t="s">
        <v>18</v>
      </c>
      <c r="C9" s="2" t="s">
        <v>14</v>
      </c>
      <c r="D9" s="2">
        <v>50000</v>
      </c>
      <c r="E9" s="2">
        <v>1900</v>
      </c>
      <c r="F9" s="2">
        <v>28</v>
      </c>
      <c r="G9" s="3">
        <v>44063</v>
      </c>
      <c r="H9" t="str">
        <f t="shared" si="0"/>
        <v xml:space="preserve">8 Anna Scott Marketing 50000 1900 28 </v>
      </c>
      <c r="I9" t="str">
        <v>ANNA SCOTT</v>
      </c>
      <c r="J9" t="str">
        <v>marketing</v>
      </c>
      <c r="K9">
        <v>10</v>
      </c>
    </row>
    <row r="10" spans="1:17" ht="31.2" x14ac:dyDescent="0.3">
      <c r="A10" s="2">
        <v>9</v>
      </c>
      <c r="B10" s="2" t="s">
        <v>19</v>
      </c>
      <c r="C10" s="2" t="s">
        <v>8</v>
      </c>
      <c r="D10" s="2">
        <v>46000</v>
      </c>
      <c r="E10" s="2">
        <v>2050</v>
      </c>
      <c r="F10" s="2">
        <v>33</v>
      </c>
      <c r="G10" s="3">
        <v>43538</v>
      </c>
      <c r="H10" t="str">
        <f t="shared" si="0"/>
        <v xml:space="preserve">9 Ryan Hall Sales 46000 2050 33 </v>
      </c>
      <c r="I10" t="str">
        <v>RYAN HALL</v>
      </c>
      <c r="J10" t="str">
        <v>sales</v>
      </c>
      <c r="K10">
        <v>9</v>
      </c>
      <c r="M10" t="str">
        <f t="shared" si="1"/>
        <v/>
      </c>
    </row>
    <row r="11" spans="1:17" ht="31.2" x14ac:dyDescent="0.3">
      <c r="A11" s="2">
        <v>10</v>
      </c>
      <c r="B11" s="2" t="s">
        <v>20</v>
      </c>
      <c r="C11" s="2" t="s">
        <v>10</v>
      </c>
      <c r="D11" s="2">
        <v>54000</v>
      </c>
      <c r="E11" s="2">
        <v>2600</v>
      </c>
      <c r="F11" s="2">
        <v>36</v>
      </c>
      <c r="G11" s="3">
        <v>42672</v>
      </c>
      <c r="H11" t="str">
        <f t="shared" si="0"/>
        <v xml:space="preserve">10 Sophia King HR 54000 2600 36 </v>
      </c>
      <c r="I11" t="str">
        <v>SOPHIA KING</v>
      </c>
      <c r="J11" t="str">
        <v>hr</v>
      </c>
      <c r="K11">
        <v>11</v>
      </c>
      <c r="M11" t="str">
        <f t="shared" si="1"/>
        <v/>
      </c>
    </row>
    <row r="12" spans="1:17" ht="31.2" x14ac:dyDescent="0.3">
      <c r="A12" s="2">
        <v>11</v>
      </c>
      <c r="B12" s="2" t="s">
        <v>21</v>
      </c>
      <c r="C12" s="2" t="s">
        <v>12</v>
      </c>
      <c r="D12" s="2">
        <v>62000</v>
      </c>
      <c r="E12" s="2">
        <v>3100</v>
      </c>
      <c r="F12" s="2">
        <v>42</v>
      </c>
      <c r="G12" s="3">
        <v>43453</v>
      </c>
      <c r="H12" t="str">
        <f t="shared" si="0"/>
        <v xml:space="preserve">11 Paul Allen IT 62000 3100 42 </v>
      </c>
      <c r="I12" t="str">
        <v>PAUL ALLEN</v>
      </c>
      <c r="J12" t="str">
        <v>it</v>
      </c>
      <c r="K12">
        <v>10</v>
      </c>
      <c r="M12" t="str">
        <f t="shared" si="1"/>
        <v/>
      </c>
    </row>
    <row r="13" spans="1:17" ht="31.2" x14ac:dyDescent="0.3">
      <c r="A13" s="2">
        <v>12</v>
      </c>
      <c r="B13" s="2" t="s">
        <v>22</v>
      </c>
      <c r="C13" s="2" t="s">
        <v>14</v>
      </c>
      <c r="D13" s="2">
        <v>51000</v>
      </c>
      <c r="E13" s="2">
        <v>2000</v>
      </c>
      <c r="F13" s="2">
        <v>27</v>
      </c>
      <c r="G13" s="3">
        <v>44352</v>
      </c>
      <c r="H13" t="str">
        <f t="shared" si="0"/>
        <v xml:space="preserve">12 Mia Carter Marketing 51000 2000 27 </v>
      </c>
      <c r="I13" t="str">
        <v>MIA CARTER</v>
      </c>
      <c r="J13" t="str">
        <v>marketing</v>
      </c>
      <c r="K13">
        <v>10</v>
      </c>
      <c r="M13" t="str">
        <f t="shared" si="1"/>
        <v/>
      </c>
    </row>
    <row r="14" spans="1:17" ht="31.2" x14ac:dyDescent="0.3">
      <c r="A14" s="2">
        <v>13</v>
      </c>
      <c r="B14" s="2" t="s">
        <v>23</v>
      </c>
      <c r="C14" s="2" t="s">
        <v>8</v>
      </c>
      <c r="D14" s="2">
        <v>48000</v>
      </c>
      <c r="E14" s="2">
        <v>2200</v>
      </c>
      <c r="F14" s="2">
        <v>30</v>
      </c>
      <c r="G14" s="3">
        <v>43130</v>
      </c>
      <c r="H14" t="str">
        <f t="shared" si="0"/>
        <v xml:space="preserve">13 Jack Wilson Sales 48000 2200 30 </v>
      </c>
      <c r="I14" t="str">
        <v>JACK WILSON</v>
      </c>
      <c r="J14" t="str">
        <v>sales</v>
      </c>
      <c r="K14">
        <v>11</v>
      </c>
      <c r="M14" t="str">
        <f t="shared" si="1"/>
        <v/>
      </c>
    </row>
    <row r="15" spans="1:17" ht="31.2" x14ac:dyDescent="0.3">
      <c r="A15" s="2">
        <v>14</v>
      </c>
      <c r="B15" s="2" t="s">
        <v>24</v>
      </c>
      <c r="C15" s="2" t="s">
        <v>10</v>
      </c>
      <c r="D15" s="2">
        <v>55000</v>
      </c>
      <c r="E15" s="2">
        <v>2800</v>
      </c>
      <c r="F15" s="2">
        <v>39</v>
      </c>
      <c r="G15" s="3">
        <v>42263</v>
      </c>
      <c r="H15" t="str">
        <f t="shared" si="0"/>
        <v xml:space="preserve">14 Olivia Adams HR 55000 2800 39 </v>
      </c>
      <c r="I15" t="str">
        <v>OLIVIA ADAMS</v>
      </c>
      <c r="J15" t="str">
        <v>hr</v>
      </c>
      <c r="K15">
        <v>12</v>
      </c>
      <c r="M15" t="str">
        <f t="shared" si="1"/>
        <v/>
      </c>
    </row>
    <row r="16" spans="1:17" ht="31.2" x14ac:dyDescent="0.3">
      <c r="A16" s="2">
        <v>15</v>
      </c>
      <c r="B16" s="2" t="s">
        <v>25</v>
      </c>
      <c r="C16" s="2" t="s">
        <v>12</v>
      </c>
      <c r="D16" s="2">
        <v>64000</v>
      </c>
      <c r="E16" s="2">
        <v>3300</v>
      </c>
      <c r="F16" s="2">
        <v>45</v>
      </c>
      <c r="G16" s="3">
        <v>41946</v>
      </c>
      <c r="H16" t="str">
        <f t="shared" si="0"/>
        <v xml:space="preserve">15 Ethan Clark IT 64000 3300 45 </v>
      </c>
      <c r="I16" t="str">
        <v>ETHAN CLARK</v>
      </c>
      <c r="J16" t="str">
        <v>it</v>
      </c>
      <c r="K16">
        <v>11</v>
      </c>
      <c r="M16" t="str">
        <f t="shared" si="1"/>
        <v/>
      </c>
    </row>
    <row r="17" spans="1:13" ht="31.2" x14ac:dyDescent="0.3">
      <c r="A17" s="2">
        <v>16</v>
      </c>
      <c r="B17" s="2" t="s">
        <v>26</v>
      </c>
      <c r="C17" s="2" t="s">
        <v>14</v>
      </c>
      <c r="D17" s="2">
        <v>52000</v>
      </c>
      <c r="E17" s="2">
        <v>2100</v>
      </c>
      <c r="F17" s="2">
        <v>29</v>
      </c>
      <c r="G17" s="3">
        <v>43939</v>
      </c>
      <c r="H17" t="str">
        <f t="shared" si="0"/>
        <v xml:space="preserve">16 Grace Lewis Marketing 52000 2100 29 </v>
      </c>
      <c r="I17" t="str">
        <v>GRACE LEWIS</v>
      </c>
      <c r="J17" t="str">
        <v>marketing</v>
      </c>
      <c r="K17">
        <v>11</v>
      </c>
      <c r="M17" t="str">
        <f t="shared" si="1"/>
        <v/>
      </c>
    </row>
    <row r="18" spans="1:13" ht="31.2" x14ac:dyDescent="0.3">
      <c r="A18" s="2">
        <v>17</v>
      </c>
      <c r="B18" s="2" t="s">
        <v>27</v>
      </c>
      <c r="C18" s="2" t="s">
        <v>8</v>
      </c>
      <c r="D18" s="2">
        <v>47000</v>
      </c>
      <c r="E18" s="2">
        <v>2000</v>
      </c>
      <c r="F18" s="2">
        <v>32</v>
      </c>
      <c r="G18" s="3">
        <v>43800</v>
      </c>
      <c r="H18" t="str">
        <f t="shared" si="0"/>
        <v xml:space="preserve">17 Henry Young Sales 47000 2000 32 </v>
      </c>
      <c r="I18" t="str">
        <v>HENRY YOUNG</v>
      </c>
      <c r="J18" t="str">
        <v>sales</v>
      </c>
      <c r="K18">
        <v>11</v>
      </c>
      <c r="M18" t="str">
        <f t="shared" si="1"/>
        <v/>
      </c>
    </row>
    <row r="19" spans="1:13" ht="31.2" x14ac:dyDescent="0.3">
      <c r="A19" s="2">
        <v>18</v>
      </c>
      <c r="B19" s="2" t="s">
        <v>28</v>
      </c>
      <c r="C19" s="2" t="s">
        <v>10</v>
      </c>
      <c r="D19" s="2">
        <v>56000</v>
      </c>
      <c r="E19" s="2">
        <v>2500</v>
      </c>
      <c r="F19" s="2">
        <v>35</v>
      </c>
      <c r="G19" s="3">
        <v>42548</v>
      </c>
      <c r="H19" t="str">
        <f t="shared" si="0"/>
        <v xml:space="preserve">18 Lily Moore HR 56000 2500 35 </v>
      </c>
      <c r="I19" t="str">
        <v>LILY MOORE</v>
      </c>
      <c r="J19" t="str">
        <v>hr</v>
      </c>
      <c r="K19">
        <v>10</v>
      </c>
      <c r="M19" t="str">
        <f t="shared" si="1"/>
        <v/>
      </c>
    </row>
    <row r="20" spans="1:13" ht="31.2" x14ac:dyDescent="0.3">
      <c r="A20" s="2">
        <v>19</v>
      </c>
      <c r="B20" s="2" t="s">
        <v>29</v>
      </c>
      <c r="C20" s="2" t="s">
        <v>12</v>
      </c>
      <c r="D20" s="2">
        <v>63000</v>
      </c>
      <c r="E20" s="2">
        <v>3400</v>
      </c>
      <c r="F20" s="2">
        <v>43</v>
      </c>
      <c r="G20" s="3">
        <v>42774</v>
      </c>
      <c r="H20" t="str">
        <f t="shared" si="0"/>
        <v xml:space="preserve">19 Chris Evans IT 63000 3400 43 </v>
      </c>
      <c r="I20" t="str">
        <v>CHRIS EVANS</v>
      </c>
      <c r="J20" t="str">
        <v>it</v>
      </c>
      <c r="K20">
        <v>11</v>
      </c>
    </row>
    <row r="21" spans="1:13" ht="31.2" x14ac:dyDescent="0.3">
      <c r="A21" s="2">
        <v>20</v>
      </c>
      <c r="B21" s="2" t="s">
        <v>30</v>
      </c>
      <c r="C21" s="2" t="s">
        <v>14</v>
      </c>
      <c r="D21" s="2">
        <v>49500</v>
      </c>
      <c r="E21" s="2">
        <v>1950</v>
      </c>
      <c r="F21" s="2">
        <v>28</v>
      </c>
      <c r="G21" s="3">
        <v>44453</v>
      </c>
      <c r="H21" t="str">
        <f t="shared" si="0"/>
        <v xml:space="preserve">20 Ava Turner Marketing 49500 1950 28 </v>
      </c>
      <c r="I21" t="str">
        <v>AVA TURNER</v>
      </c>
      <c r="J21" t="str">
        <v>marketing</v>
      </c>
      <c r="K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2026-03-07T16:11:29Z</dcterms:created>
  <dcterms:modified xsi:type="dcterms:W3CDTF">2026-03-07T17:31:01Z</dcterms:modified>
</cp:coreProperties>
</file>