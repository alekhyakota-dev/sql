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1E8DE175-98FF-40D2-8406-894EF437C68D}" xr6:coauthVersionLast="47" xr6:coauthVersionMax="47" xr10:uidLastSave="{00000000-0000-0000-0000-000000000000}"/>
  <bookViews>
    <workbookView xWindow="-108" yWindow="-108" windowWidth="23256" windowHeight="12456" xr2:uid="{E122808B-9A4A-4F06-84A3-7063826EE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Z2" i="1"/>
  <c r="Y2" i="1"/>
  <c r="X2" i="1"/>
  <c r="W2" i="1"/>
  <c r="V2" i="1"/>
  <c r="U2" i="1"/>
  <c r="T2" i="1" a="1"/>
  <c r="T2" i="1" s="1"/>
  <c r="S2" i="1" a="1"/>
  <c r="S2" i="1" s="1"/>
  <c r="R2" i="1" a="1"/>
  <c r="R2" i="1" s="1"/>
  <c r="Q2" i="1" a="1"/>
  <c r="Q2" i="1" s="1"/>
  <c r="P2" i="1" a="1"/>
  <c r="P2" i="1" s="1"/>
  <c r="O2" i="1" a="1"/>
  <c r="O2" i="1" s="1"/>
  <c r="N2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L2" i="1"/>
  <c r="K2" i="1"/>
  <c r="J2" i="1"/>
  <c r="I2" i="1"/>
  <c r="H2" i="1"/>
  <c r="I34" i="1"/>
  <c r="J34" i="1"/>
  <c r="K34" i="1"/>
  <c r="H34" i="1"/>
  <c r="L34" i="1"/>
  <c r="M34" i="1"/>
  <c r="N34" i="1"/>
  <c r="O34" i="1"/>
  <c r="P34" i="1"/>
  <c r="Q34" i="1"/>
  <c r="R34" i="1"/>
  <c r="S34" i="1"/>
  <c r="T34" i="1"/>
  <c r="U5" i="1"/>
  <c r="V5" i="1"/>
  <c r="W5" i="1"/>
  <c r="X5" i="1"/>
  <c r="Y5" i="1"/>
  <c r="Z5" i="1"/>
  <c r="AA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<sst xmlns="http://schemas.openxmlformats.org/spreadsheetml/2006/main" count="136" uniqueCount="91">
  <si>
    <t>Emp_ID</t>
  </si>
  <si>
    <t>Name</t>
  </si>
  <si>
    <t>Department</t>
  </si>
  <si>
    <t>Join_Date</t>
  </si>
  <si>
    <t>DOB</t>
  </si>
  <si>
    <t>Last_Promotion</t>
  </si>
  <si>
    <t>E001</t>
  </si>
  <si>
    <t>Amit Kumar</t>
  </si>
  <si>
    <t>HR</t>
  </si>
  <si>
    <t>E002</t>
  </si>
  <si>
    <t>Priya Sharma</t>
  </si>
  <si>
    <t>IT</t>
  </si>
  <si>
    <t>E003</t>
  </si>
  <si>
    <t>Rohan Verma</t>
  </si>
  <si>
    <t>Finance</t>
  </si>
  <si>
    <t>E004</t>
  </si>
  <si>
    <t>Neha Singh</t>
  </si>
  <si>
    <t>Marketing</t>
  </si>
  <si>
    <t>E005</t>
  </si>
  <si>
    <t>Vivek Yadav</t>
  </si>
  <si>
    <t>E006</t>
  </si>
  <si>
    <t>Kavita Joshi</t>
  </si>
  <si>
    <t>E007</t>
  </si>
  <si>
    <t>Manish Gupta</t>
  </si>
  <si>
    <t>E008</t>
  </si>
  <si>
    <t>Sneha Patil</t>
  </si>
  <si>
    <t>E009</t>
  </si>
  <si>
    <t>Ankit Jain</t>
  </si>
  <si>
    <t>E010</t>
  </si>
  <si>
    <t>Shreya Mehta</t>
  </si>
  <si>
    <t>E011</t>
  </si>
  <si>
    <t>Rajesh Kumar</t>
  </si>
  <si>
    <t>E012</t>
  </si>
  <si>
    <t>Pooja Rani</t>
  </si>
  <si>
    <t>E013</t>
  </si>
  <si>
    <t>Deepak Singh</t>
  </si>
  <si>
    <t>E014</t>
  </si>
  <si>
    <t>Anjali Nair</t>
  </si>
  <si>
    <t>E015</t>
  </si>
  <si>
    <t>Suresh Babu</t>
  </si>
  <si>
    <t>E016</t>
  </si>
  <si>
    <t>Rekha Rao</t>
  </si>
  <si>
    <t>E017</t>
  </si>
  <si>
    <t>Ajay Kumar</t>
  </si>
  <si>
    <t>E018</t>
  </si>
  <si>
    <t>Sonia Kapoor</t>
  </si>
  <si>
    <t>E019</t>
  </si>
  <si>
    <t>Varun Das</t>
  </si>
  <si>
    <t>E020</t>
  </si>
  <si>
    <t>Meera Iyer</t>
  </si>
  <si>
    <t>E021</t>
  </si>
  <si>
    <t>Karan Singh</t>
  </si>
  <si>
    <t>E022</t>
  </si>
  <si>
    <t>Aditi Mishra</t>
  </si>
  <si>
    <t>E023</t>
  </si>
  <si>
    <t>Sunil Joshi</t>
  </si>
  <si>
    <t>E024</t>
  </si>
  <si>
    <t>Ritu Sharma</t>
  </si>
  <si>
    <t>E025</t>
  </si>
  <si>
    <t>Arjun Malhotra</t>
  </si>
  <si>
    <t>E026</t>
  </si>
  <si>
    <t>Komal Chauhan</t>
  </si>
  <si>
    <t>E027</t>
  </si>
  <si>
    <t>Mohit Gupta</t>
  </si>
  <si>
    <t>E028</t>
  </si>
  <si>
    <t>Divya Sharma</t>
  </si>
  <si>
    <t>E029</t>
  </si>
  <si>
    <t>Nitin Kumar</t>
  </si>
  <si>
    <t>E030</t>
  </si>
  <si>
    <t>Swati Verma</t>
  </si>
  <si>
    <t>1.TODAY</t>
  </si>
  <si>
    <t>2.DATE AND TIME</t>
  </si>
  <si>
    <t>3.TOTAL YEARS</t>
  </si>
  <si>
    <t>5.NO.OF MONTHS</t>
  </si>
  <si>
    <t>4.EXACT NO.OF DAYS</t>
  </si>
  <si>
    <t>6.AGE OF EACH EMP</t>
  </si>
  <si>
    <t>7.EXACT AGE</t>
  </si>
  <si>
    <t>8.JOINING YEAR</t>
  </si>
  <si>
    <t>9.JOINING MONTH</t>
  </si>
  <si>
    <t>10.JOINING DAY</t>
  </si>
  <si>
    <t>11.BIRTH YEAR</t>
  </si>
  <si>
    <t>12.BIRTH MONTH</t>
  </si>
  <si>
    <t>13.BIRTH DAY</t>
  </si>
  <si>
    <t>14.LAST PROMOTION</t>
  </si>
  <si>
    <t>15.DAYS PASSED</t>
  </si>
  <si>
    <t>16.MONTHS PASSED</t>
  </si>
  <si>
    <t>17.TODAY'S YEAR</t>
  </si>
  <si>
    <t>18.TODA'S MONTH</t>
  </si>
  <si>
    <t>19.TODAY'S DAY</t>
  </si>
  <si>
    <t>20.TIME RIGHT NOW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</si>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</sst>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DD50-62E9-4C4E-93CA-919CA13C4D2D}">
  <dimension ref="A1:AA34"/>
  <sheetViews>
    <sheetView tabSelected="1" topLeftCell="E1" zoomScale="78" workbookViewId="0">
      <selection activeCell="K5" sqref="K5"/>
    </sheetView>
  </sheetViews>
  <sheetFormatPr defaultRowHeight="14.4" x14ac:dyDescent="0.3"/>
  <cols>
    <col min="2" max="2" width="12.5546875" customWidth="1"/>
    <col min="3" max="3" width="10.21875" customWidth="1"/>
    <col min="4" max="4" width="13.88671875" customWidth="1"/>
    <col min="5" max="5" width="12.33203125" customWidth="1"/>
    <col min="6" max="6" width="13.88671875" customWidth="1"/>
    <col min="7" max="7" width="22.5546875" customWidth="1"/>
    <col min="8" max="8" width="11.5546875" customWidth="1"/>
    <col min="9" max="9" width="16.88671875" customWidth="1"/>
    <col min="10" max="10" width="22.88671875" customWidth="1"/>
    <col min="11" max="11" width="24.33203125" customWidth="1"/>
    <col min="12" max="12" width="23.44140625" customWidth="1"/>
    <col min="13" max="13" width="24" customWidth="1"/>
    <col min="14" max="14" width="98" customWidth="1"/>
    <col min="15" max="15" width="18.5546875" customWidth="1"/>
    <col min="16" max="16" width="17.33203125" customWidth="1"/>
    <col min="17" max="17" width="20.109375" customWidth="1"/>
    <col min="18" max="18" width="16.33203125" customWidth="1"/>
    <col min="19" max="19" width="16.77734375" customWidth="1"/>
    <col min="20" max="20" width="18.109375" customWidth="1"/>
    <col min="21" max="21" width="22.5546875" customWidth="1"/>
    <col min="22" max="22" width="22.44140625" customWidth="1"/>
    <col min="23" max="23" width="24.21875" customWidth="1"/>
    <col min="24" max="24" width="15" customWidth="1"/>
    <col min="25" max="25" width="16.6640625" customWidth="1"/>
    <col min="26" max="26" width="17.6640625" customWidth="1"/>
    <col min="27" max="27" width="19.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70</v>
      </c>
      <c r="I1" t="s">
        <v>71</v>
      </c>
      <c r="J1" t="s">
        <v>72</v>
      </c>
      <c r="K1" t="s">
        <v>74</v>
      </c>
      <c r="L1" t="s">
        <v>73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</row>
    <row r="2" spans="1:27" x14ac:dyDescent="0.3">
      <c r="A2" t="s">
        <v>6</v>
      </c>
      <c r="B2" t="s">
        <v>7</v>
      </c>
      <c r="C2" t="s">
        <v>8</v>
      </c>
      <c r="D2" s="1">
        <v>43905</v>
      </c>
      <c r="E2" s="1">
        <v>33066</v>
      </c>
      <c r="F2" s="1">
        <v>44593</v>
      </c>
      <c r="H2" s="1">
        <f ca="1">TODAY()</f>
        <v>46090</v>
      </c>
      <c r="I2" s="2">
        <f ca="1">NOW()</f>
        <v>46090.747521296296</v>
      </c>
      <c r="J2">
        <f ca="1">DATEDIF(D2,TODAY(),"Y")</f>
        <v>5</v>
      </c>
      <c r="K2">
        <f ca="1">DATEDIF(D2,TODAY(),"D")</f>
        <v>2185</v>
      </c>
      <c r="L2">
        <f ca="1">DATEDIF(D2,TODAY(),"M")</f>
        <v>71</v>
      </c>
      <c r="M2">
        <f ca="1">DATEDIF(E2,TODAY(),"Y")</f>
        <v>35</v>
      </c>
      <c r="N2" t="str">
        <f ca="1">DATEDIF(E2,TODAY(),"Y")&amp;" Years "&amp;DATEDIF(E2,TODAY(),"YM")&amp;" Months "&amp;DATEDIF(E2,TODAY(),"MD")&amp;" Days"</f>
        <v>35 Years 7 Months 25 Days</v>
      </c>
      <c r="O2" s="2" cm="1">
        <f t="array" ref="O2:O31">YEAR(D2:D31)</f>
        <v>2020</v>
      </c>
      <c r="P2" cm="1">
        <f t="array" ref="P2:P31">MONTH(D2:D31)</f>
        <v>3</v>
      </c>
      <c r="Q2" cm="1">
        <f t="array" ref="Q2:Q31">DAY(D2:D31)</f>
        <v>15</v>
      </c>
      <c r="R2" cm="1">
        <f t="array" ref="R2:R31">YEAR(E2:E31)</f>
        <v>1990</v>
      </c>
      <c r="S2" cm="1">
        <f t="array" ref="S2:S31">MONTH(E2:E31)</f>
        <v>7</v>
      </c>
      <c r="T2" cm="1">
        <f t="array" ref="T2:T31">DAY(E2:E31)</f>
        <v>12</v>
      </c>
      <c r="U2">
        <f ca="1">DATEDIF(F2,TODAY(),"Y")</f>
        <v>4</v>
      </c>
      <c r="V2" s="4">
        <f ca="1">DATEDIF(F2,TODAY(),"D")</f>
        <v>1497</v>
      </c>
      <c r="W2">
        <f ca="1">DATEDIF(F2,TODAY(),"M")</f>
        <v>49</v>
      </c>
      <c r="X2">
        <f ca="1">YEAR(TODAY())</f>
        <v>2026</v>
      </c>
      <c r="Y2">
        <f ca="1">MONTH(TODAY())</f>
        <v>3</v>
      </c>
      <c r="Z2">
        <f ca="1">DAY(TODAY())</f>
        <v>9</v>
      </c>
      <c r="AA2" s="2">
        <f ca="1">NOW()</f>
        <v>46090.747521296296</v>
      </c>
    </row>
    <row r="3" spans="1:27" x14ac:dyDescent="0.3">
      <c r="A3" t="s">
        <v>9</v>
      </c>
      <c r="B3" t="s">
        <v>10</v>
      </c>
      <c r="C3" t="s">
        <v>11</v>
      </c>
      <c r="D3" s="1">
        <v>43687</v>
      </c>
      <c r="E3" s="1">
        <v>33749</v>
      </c>
      <c r="F3" s="1">
        <v>45034</v>
      </c>
      <c r="J3" s="2"/>
      <c r="M3">
        <f t="shared" ref="M3:M31" ca="1" si="0">DATEDIF(E3,TODAY(),"Y")</f>
        <v>33</v>
      </c>
      <c r="O3" s="2">
        <v>2019</v>
      </c>
      <c r="P3">
        <v>8</v>
      </c>
      <c r="Q3">
        <v>10</v>
      </c>
      <c r="R3">
        <v>1992</v>
      </c>
      <c r="S3">
        <v>5</v>
      </c>
      <c r="T3">
        <v>25</v>
      </c>
    </row>
    <row r="4" spans="1:27" x14ac:dyDescent="0.3">
      <c r="A4" t="s">
        <v>12</v>
      </c>
      <c r="B4" t="s">
        <v>13</v>
      </c>
      <c r="C4" t="s">
        <v>14</v>
      </c>
      <c r="D4" s="1">
        <v>44505</v>
      </c>
      <c r="E4" s="1">
        <v>34379</v>
      </c>
      <c r="F4" s="1">
        <v>44907</v>
      </c>
      <c r="M4">
        <f t="shared" ca="1" si="0"/>
        <v>32</v>
      </c>
      <c r="O4">
        <v>2021</v>
      </c>
      <c r="P4">
        <v>11</v>
      </c>
      <c r="Q4">
        <v>5</v>
      </c>
      <c r="R4">
        <v>1994</v>
      </c>
      <c r="S4">
        <v>2</v>
      </c>
      <c r="T4">
        <v>14</v>
      </c>
      <c r="U4" s="5" t="s">
        <v>90</v>
      </c>
      <c r="V4" s="5" t="s">
        <v>90</v>
      </c>
      <c r="W4" s="5" t="s">
        <v>90</v>
      </c>
      <c r="X4" s="5" t="s">
        <v>90</v>
      </c>
      <c r="Y4" s="5" t="s">
        <v>90</v>
      </c>
      <c r="Z4" s="5" t="s">
        <v>90</v>
      </c>
      <c r="AA4" s="5" t="s">
        <v>90</v>
      </c>
    </row>
    <row r="5" spans="1:27" x14ac:dyDescent="0.3">
      <c r="A5" t="s">
        <v>15</v>
      </c>
      <c r="B5" t="s">
        <v>16</v>
      </c>
      <c r="C5" t="s">
        <v>17</v>
      </c>
      <c r="D5" s="1">
        <v>43272</v>
      </c>
      <c r="E5" s="1">
        <v>33490</v>
      </c>
      <c r="F5" s="1">
        <v>44409</v>
      </c>
      <c r="M5">
        <f t="shared" ca="1" si="0"/>
        <v>34</v>
      </c>
      <c r="O5">
        <v>2018</v>
      </c>
      <c r="P5">
        <v>6</v>
      </c>
      <c r="Q5">
        <v>21</v>
      </c>
      <c r="R5">
        <v>1991</v>
      </c>
      <c r="S5">
        <v>9</v>
      </c>
      <c r="T5">
        <v>9</v>
      </c>
      <c r="U5" t="str">
        <f ca="1">_xlfn.FORMULATEXT(U2)</f>
        <v>=DATEDIF(F2,TODAY(),"Y")</v>
      </c>
      <c r="V5" t="str">
        <f ca="1">_xlfn.FORMULATEXT(V2)</f>
        <v>=DATEDIF(F2,TODAY(),"D")</v>
      </c>
      <c r="W5" t="str">
        <f ca="1">_xlfn.FORMULATEXT(W2)</f>
        <v>=DATEDIF(F2,TODAY(),"M")</v>
      </c>
      <c r="X5" t="str">
        <f ca="1">_xlfn.FORMULATEXT(X2)</f>
        <v>=YEAR(TODAY())</v>
      </c>
      <c r="Y5" t="str">
        <f ca="1">_xlfn.FORMULATEXT(Y2)</f>
        <v>=MONTH(TODAY())</v>
      </c>
      <c r="Z5" t="str">
        <f ca="1">_xlfn.FORMULATEXT(Z2)</f>
        <v>=DAY(TODAY())</v>
      </c>
      <c r="AA5" t="str">
        <f ca="1">_xlfn.FORMULATEXT(AA2)</f>
        <v>=NOW()</v>
      </c>
    </row>
    <row r="6" spans="1:27" x14ac:dyDescent="0.3">
      <c r="A6" t="s">
        <v>18</v>
      </c>
      <c r="B6" t="s">
        <v>19</v>
      </c>
      <c r="C6" t="s">
        <v>11</v>
      </c>
      <c r="D6" s="1">
        <v>44670</v>
      </c>
      <c r="E6" s="1">
        <v>35033</v>
      </c>
      <c r="F6" s="1">
        <v>45061</v>
      </c>
      <c r="M6">
        <f t="shared" ca="1" si="0"/>
        <v>30</v>
      </c>
      <c r="O6">
        <v>2022</v>
      </c>
      <c r="P6">
        <v>4</v>
      </c>
      <c r="Q6">
        <v>19</v>
      </c>
      <c r="R6">
        <v>1995</v>
      </c>
      <c r="S6">
        <v>11</v>
      </c>
      <c r="T6">
        <v>30</v>
      </c>
    </row>
    <row r="7" spans="1:27" x14ac:dyDescent="0.3">
      <c r="A7" t="s">
        <v>20</v>
      </c>
      <c r="B7" t="s">
        <v>21</v>
      </c>
      <c r="C7" t="s">
        <v>8</v>
      </c>
      <c r="D7" s="1">
        <v>43860</v>
      </c>
      <c r="E7" s="1">
        <v>32859</v>
      </c>
      <c r="F7" s="1">
        <v>44811</v>
      </c>
      <c r="M7">
        <f t="shared" ca="1" si="0"/>
        <v>36</v>
      </c>
      <c r="O7">
        <v>2020</v>
      </c>
      <c r="P7">
        <v>1</v>
      </c>
      <c r="Q7">
        <v>30</v>
      </c>
      <c r="R7">
        <v>1989</v>
      </c>
      <c r="S7">
        <v>12</v>
      </c>
      <c r="T7">
        <v>17</v>
      </c>
    </row>
    <row r="8" spans="1:27" x14ac:dyDescent="0.3">
      <c r="A8" t="s">
        <v>22</v>
      </c>
      <c r="B8" t="s">
        <v>23</v>
      </c>
      <c r="C8" t="s">
        <v>14</v>
      </c>
      <c r="D8" s="1">
        <v>44391</v>
      </c>
      <c r="E8" s="1">
        <v>34186</v>
      </c>
      <c r="F8" s="1">
        <v>44928</v>
      </c>
      <c r="J8" s="1"/>
      <c r="M8">
        <f t="shared" ca="1" si="0"/>
        <v>32</v>
      </c>
      <c r="O8">
        <v>2021</v>
      </c>
      <c r="P8">
        <v>7</v>
      </c>
      <c r="Q8">
        <v>14</v>
      </c>
      <c r="R8">
        <v>1993</v>
      </c>
      <c r="S8">
        <v>8</v>
      </c>
      <c r="T8">
        <v>5</v>
      </c>
    </row>
    <row r="9" spans="1:27" x14ac:dyDescent="0.3">
      <c r="A9" t="s">
        <v>24</v>
      </c>
      <c r="B9" t="s">
        <v>25</v>
      </c>
      <c r="C9" t="s">
        <v>17</v>
      </c>
      <c r="D9" s="1">
        <v>43826</v>
      </c>
      <c r="E9" s="1">
        <v>32960</v>
      </c>
      <c r="F9" s="1">
        <v>44377</v>
      </c>
      <c r="J9" s="3"/>
      <c r="M9">
        <f t="shared" ca="1" si="0"/>
        <v>35</v>
      </c>
      <c r="O9">
        <v>2019</v>
      </c>
      <c r="P9">
        <v>12</v>
      </c>
      <c r="Q9">
        <v>27</v>
      </c>
      <c r="R9">
        <v>1990</v>
      </c>
      <c r="S9">
        <v>3</v>
      </c>
      <c r="T9">
        <v>28</v>
      </c>
    </row>
    <row r="10" spans="1:27" x14ac:dyDescent="0.3">
      <c r="A10" t="s">
        <v>26</v>
      </c>
      <c r="B10" t="s">
        <v>27</v>
      </c>
      <c r="C10" t="s">
        <v>11</v>
      </c>
      <c r="D10" s="1">
        <v>44706</v>
      </c>
      <c r="E10" s="1">
        <v>34495</v>
      </c>
      <c r="F10" s="1">
        <v>44996</v>
      </c>
      <c r="H10" s="1"/>
      <c r="M10">
        <f t="shared" ca="1" si="0"/>
        <v>31</v>
      </c>
      <c r="O10">
        <v>2022</v>
      </c>
      <c r="P10">
        <v>5</v>
      </c>
      <c r="Q10">
        <v>25</v>
      </c>
      <c r="R10">
        <v>1994</v>
      </c>
      <c r="S10">
        <v>6</v>
      </c>
      <c r="T10">
        <v>10</v>
      </c>
    </row>
    <row r="11" spans="1:27" x14ac:dyDescent="0.3">
      <c r="A11" t="s">
        <v>28</v>
      </c>
      <c r="B11" t="s">
        <v>29</v>
      </c>
      <c r="C11" t="s">
        <v>8</v>
      </c>
      <c r="D11" s="1">
        <v>44442</v>
      </c>
      <c r="E11" s="1">
        <v>35083</v>
      </c>
      <c r="F11" s="1">
        <v>44890</v>
      </c>
      <c r="M11">
        <f t="shared" ca="1" si="0"/>
        <v>30</v>
      </c>
      <c r="O11">
        <v>2021</v>
      </c>
      <c r="P11">
        <v>9</v>
      </c>
      <c r="Q11">
        <v>3</v>
      </c>
      <c r="R11">
        <v>1996</v>
      </c>
      <c r="S11">
        <v>1</v>
      </c>
      <c r="T11">
        <v>19</v>
      </c>
    </row>
    <row r="12" spans="1:27" x14ac:dyDescent="0.3">
      <c r="A12" t="s">
        <v>30</v>
      </c>
      <c r="B12" t="s">
        <v>31</v>
      </c>
      <c r="C12" t="s">
        <v>14</v>
      </c>
      <c r="D12" s="1">
        <v>44180</v>
      </c>
      <c r="E12" s="1">
        <v>33845</v>
      </c>
      <c r="F12" s="1">
        <v>44781</v>
      </c>
      <c r="M12">
        <f t="shared" ca="1" si="0"/>
        <v>33</v>
      </c>
      <c r="O12">
        <v>2020</v>
      </c>
      <c r="P12">
        <v>12</v>
      </c>
      <c r="Q12">
        <v>15</v>
      </c>
      <c r="R12">
        <v>1992</v>
      </c>
      <c r="S12">
        <v>8</v>
      </c>
      <c r="T12">
        <v>29</v>
      </c>
    </row>
    <row r="13" spans="1:27" x14ac:dyDescent="0.3">
      <c r="A13" t="s">
        <v>32</v>
      </c>
      <c r="B13" t="s">
        <v>33</v>
      </c>
      <c r="C13" t="s">
        <v>17</v>
      </c>
      <c r="D13" s="1">
        <v>43742</v>
      </c>
      <c r="E13" s="1">
        <v>33372</v>
      </c>
      <c r="F13" s="1">
        <v>44542</v>
      </c>
      <c r="M13">
        <f t="shared" ca="1" si="0"/>
        <v>34</v>
      </c>
      <c r="O13">
        <v>2019</v>
      </c>
      <c r="P13">
        <v>10</v>
      </c>
      <c r="Q13">
        <v>4</v>
      </c>
      <c r="R13">
        <v>1991</v>
      </c>
      <c r="S13">
        <v>5</v>
      </c>
      <c r="T13">
        <v>14</v>
      </c>
    </row>
    <row r="14" spans="1:27" x14ac:dyDescent="0.3">
      <c r="A14" t="s">
        <v>34</v>
      </c>
      <c r="B14" t="s">
        <v>35</v>
      </c>
      <c r="C14" t="s">
        <v>11</v>
      </c>
      <c r="D14" s="1">
        <v>44583</v>
      </c>
      <c r="E14" s="1">
        <v>34755</v>
      </c>
      <c r="F14" s="1">
        <v>44975</v>
      </c>
      <c r="M14">
        <f t="shared" ca="1" si="0"/>
        <v>31</v>
      </c>
      <c r="O14">
        <v>2022</v>
      </c>
      <c r="P14">
        <v>1</v>
      </c>
      <c r="Q14">
        <v>22</v>
      </c>
      <c r="R14">
        <v>1995</v>
      </c>
      <c r="S14">
        <v>2</v>
      </c>
      <c r="T14">
        <v>25</v>
      </c>
    </row>
    <row r="15" spans="1:27" x14ac:dyDescent="0.3">
      <c r="A15" t="s">
        <v>36</v>
      </c>
      <c r="B15" t="s">
        <v>37</v>
      </c>
      <c r="C15" t="s">
        <v>8</v>
      </c>
      <c r="D15" s="1">
        <v>44051</v>
      </c>
      <c r="E15" s="1">
        <v>32719</v>
      </c>
      <c r="F15" s="1">
        <v>44839</v>
      </c>
      <c r="M15">
        <f t="shared" ca="1" si="0"/>
        <v>36</v>
      </c>
      <c r="O15">
        <v>2020</v>
      </c>
      <c r="P15">
        <v>8</v>
      </c>
      <c r="Q15">
        <v>8</v>
      </c>
      <c r="R15">
        <v>1989</v>
      </c>
      <c r="S15">
        <v>7</v>
      </c>
      <c r="T15">
        <v>30</v>
      </c>
    </row>
    <row r="16" spans="1:27" x14ac:dyDescent="0.3">
      <c r="A16" t="s">
        <v>38</v>
      </c>
      <c r="B16" t="s">
        <v>39</v>
      </c>
      <c r="C16" t="s">
        <v>14</v>
      </c>
      <c r="D16" s="1">
        <v>43208</v>
      </c>
      <c r="E16" s="1">
        <v>34285</v>
      </c>
      <c r="F16" s="1">
        <v>44335</v>
      </c>
      <c r="M16">
        <f t="shared" ca="1" si="0"/>
        <v>32</v>
      </c>
      <c r="O16">
        <v>2018</v>
      </c>
      <c r="P16">
        <v>4</v>
      </c>
      <c r="Q16">
        <v>18</v>
      </c>
      <c r="R16">
        <v>1993</v>
      </c>
      <c r="S16">
        <v>11</v>
      </c>
      <c r="T16">
        <v>12</v>
      </c>
    </row>
    <row r="17" spans="1:20" x14ac:dyDescent="0.3">
      <c r="A17" t="s">
        <v>40</v>
      </c>
      <c r="B17" t="s">
        <v>41</v>
      </c>
      <c r="C17" t="s">
        <v>17</v>
      </c>
      <c r="D17" s="1">
        <v>44265</v>
      </c>
      <c r="E17" s="1">
        <v>32905</v>
      </c>
      <c r="F17" s="1">
        <v>44733</v>
      </c>
      <c r="M17">
        <f ca="1">DATEDIF(E17,TODAY(),"Y")</f>
        <v>36</v>
      </c>
      <c r="O17">
        <v>2021</v>
      </c>
      <c r="P17">
        <v>3</v>
      </c>
      <c r="Q17">
        <v>10</v>
      </c>
      <c r="R17">
        <v>1990</v>
      </c>
      <c r="S17">
        <v>2</v>
      </c>
      <c r="T17">
        <v>1</v>
      </c>
    </row>
    <row r="18" spans="1:20" x14ac:dyDescent="0.3">
      <c r="A18" t="s">
        <v>42</v>
      </c>
      <c r="B18" t="s">
        <v>43</v>
      </c>
      <c r="C18" t="s">
        <v>11</v>
      </c>
      <c r="D18" s="1">
        <v>43653</v>
      </c>
      <c r="E18" s="1">
        <v>34600</v>
      </c>
      <c r="F18" s="1">
        <v>44454</v>
      </c>
      <c r="M18">
        <f t="shared" ca="1" si="0"/>
        <v>31</v>
      </c>
      <c r="O18">
        <v>2019</v>
      </c>
      <c r="P18">
        <v>7</v>
      </c>
      <c r="Q18">
        <v>7</v>
      </c>
      <c r="R18">
        <v>1994</v>
      </c>
      <c r="S18">
        <v>9</v>
      </c>
      <c r="T18">
        <v>23</v>
      </c>
    </row>
    <row r="19" spans="1:20" x14ac:dyDescent="0.3">
      <c r="A19" t="s">
        <v>44</v>
      </c>
      <c r="B19" t="s">
        <v>45</v>
      </c>
      <c r="C19" t="s">
        <v>8</v>
      </c>
      <c r="D19" s="1">
        <v>44603</v>
      </c>
      <c r="E19" s="1">
        <v>33516</v>
      </c>
      <c r="F19" s="1">
        <v>45036</v>
      </c>
      <c r="M19">
        <f t="shared" ca="1" si="0"/>
        <v>34</v>
      </c>
      <c r="O19">
        <v>2022</v>
      </c>
      <c r="P19">
        <v>2</v>
      </c>
      <c r="Q19">
        <v>11</v>
      </c>
      <c r="R19">
        <v>1991</v>
      </c>
      <c r="S19">
        <v>10</v>
      </c>
      <c r="T19">
        <v>5</v>
      </c>
    </row>
    <row r="20" spans="1:20" x14ac:dyDescent="0.3">
      <c r="A20" t="s">
        <v>46</v>
      </c>
      <c r="B20" t="s">
        <v>47</v>
      </c>
      <c r="C20" t="s">
        <v>14</v>
      </c>
      <c r="D20" s="1">
        <v>44007</v>
      </c>
      <c r="E20" s="1">
        <v>33710</v>
      </c>
      <c r="F20" s="1">
        <v>44759</v>
      </c>
      <c r="M20">
        <f t="shared" ca="1" si="0"/>
        <v>33</v>
      </c>
      <c r="O20">
        <v>2020</v>
      </c>
      <c r="P20">
        <v>6</v>
      </c>
      <c r="Q20">
        <v>25</v>
      </c>
      <c r="R20">
        <v>1992</v>
      </c>
      <c r="S20">
        <v>4</v>
      </c>
      <c r="T20">
        <v>16</v>
      </c>
    </row>
    <row r="21" spans="1:20" x14ac:dyDescent="0.3">
      <c r="A21" t="s">
        <v>48</v>
      </c>
      <c r="B21" t="s">
        <v>49</v>
      </c>
      <c r="C21" t="s">
        <v>17</v>
      </c>
      <c r="D21" s="1">
        <v>43234</v>
      </c>
      <c r="E21" s="1">
        <v>35037</v>
      </c>
      <c r="F21" s="1">
        <v>44508</v>
      </c>
      <c r="M21">
        <f t="shared" ca="1" si="0"/>
        <v>30</v>
      </c>
      <c r="O21">
        <v>2018</v>
      </c>
      <c r="P21">
        <v>5</v>
      </c>
      <c r="Q21">
        <v>14</v>
      </c>
      <c r="R21">
        <v>1995</v>
      </c>
      <c r="S21">
        <v>12</v>
      </c>
      <c r="T21">
        <v>4</v>
      </c>
    </row>
    <row r="22" spans="1:20" x14ac:dyDescent="0.3">
      <c r="A22" t="s">
        <v>50</v>
      </c>
      <c r="B22" t="s">
        <v>51</v>
      </c>
      <c r="C22" t="s">
        <v>11</v>
      </c>
      <c r="D22" s="1">
        <v>44430</v>
      </c>
      <c r="E22" s="1">
        <v>32947</v>
      </c>
      <c r="F22" s="1">
        <v>44955</v>
      </c>
      <c r="M22">
        <f t="shared" ca="1" si="0"/>
        <v>35</v>
      </c>
      <c r="O22">
        <v>2021</v>
      </c>
      <c r="P22">
        <v>8</v>
      </c>
      <c r="Q22">
        <v>22</v>
      </c>
      <c r="R22">
        <v>1990</v>
      </c>
      <c r="S22">
        <v>3</v>
      </c>
      <c r="T22">
        <v>15</v>
      </c>
    </row>
    <row r="23" spans="1:20" x14ac:dyDescent="0.3">
      <c r="A23" t="s">
        <v>52</v>
      </c>
      <c r="B23" t="s">
        <v>53</v>
      </c>
      <c r="C23" t="s">
        <v>8</v>
      </c>
      <c r="D23" s="1">
        <v>44144</v>
      </c>
      <c r="E23" s="1">
        <v>32316</v>
      </c>
      <c r="F23" s="1">
        <v>44650</v>
      </c>
      <c r="M23">
        <f t="shared" ca="1" si="0"/>
        <v>37</v>
      </c>
      <c r="O23">
        <v>2020</v>
      </c>
      <c r="P23">
        <v>11</v>
      </c>
      <c r="Q23">
        <v>9</v>
      </c>
      <c r="R23">
        <v>1988</v>
      </c>
      <c r="S23">
        <v>6</v>
      </c>
      <c r="T23">
        <v>22</v>
      </c>
    </row>
    <row r="24" spans="1:20" x14ac:dyDescent="0.3">
      <c r="A24" t="s">
        <v>54</v>
      </c>
      <c r="B24" t="s">
        <v>55</v>
      </c>
      <c r="C24" t="s">
        <v>14</v>
      </c>
      <c r="D24" s="1">
        <v>44332</v>
      </c>
      <c r="E24" s="1">
        <v>34557</v>
      </c>
      <c r="F24" s="1">
        <v>44967</v>
      </c>
      <c r="M24">
        <f t="shared" ca="1" si="0"/>
        <v>31</v>
      </c>
      <c r="O24">
        <v>2021</v>
      </c>
      <c r="P24">
        <v>5</v>
      </c>
      <c r="Q24">
        <v>16</v>
      </c>
      <c r="R24">
        <v>1994</v>
      </c>
      <c r="S24">
        <v>8</v>
      </c>
      <c r="T24">
        <v>11</v>
      </c>
    </row>
    <row r="25" spans="1:20" x14ac:dyDescent="0.3">
      <c r="A25" t="s">
        <v>56</v>
      </c>
      <c r="B25" t="s">
        <v>57</v>
      </c>
      <c r="C25" t="s">
        <v>17</v>
      </c>
      <c r="D25" s="1">
        <v>43737</v>
      </c>
      <c r="E25" s="1">
        <v>33266</v>
      </c>
      <c r="F25" s="1">
        <v>44390</v>
      </c>
      <c r="M25">
        <f t="shared" ca="1" si="0"/>
        <v>35</v>
      </c>
      <c r="O25">
        <v>2019</v>
      </c>
      <c r="P25">
        <v>9</v>
      </c>
      <c r="Q25">
        <v>29</v>
      </c>
      <c r="R25">
        <v>1991</v>
      </c>
      <c r="S25">
        <v>1</v>
      </c>
      <c r="T25">
        <v>28</v>
      </c>
    </row>
    <row r="26" spans="1:20" x14ac:dyDescent="0.3">
      <c r="A26" t="s">
        <v>58</v>
      </c>
      <c r="B26" t="s">
        <v>59</v>
      </c>
      <c r="C26" t="s">
        <v>11</v>
      </c>
      <c r="D26" s="1">
        <v>44760</v>
      </c>
      <c r="E26" s="1">
        <v>34994</v>
      </c>
      <c r="F26" s="1">
        <v>45047</v>
      </c>
      <c r="M26">
        <f t="shared" ca="1" si="0"/>
        <v>30</v>
      </c>
      <c r="O26">
        <v>2022</v>
      </c>
      <c r="P26">
        <v>7</v>
      </c>
      <c r="Q26">
        <v>18</v>
      </c>
      <c r="R26">
        <v>1995</v>
      </c>
      <c r="S26">
        <v>10</v>
      </c>
      <c r="T26">
        <v>22</v>
      </c>
    </row>
    <row r="27" spans="1:20" x14ac:dyDescent="0.3">
      <c r="A27" t="s">
        <v>60</v>
      </c>
      <c r="B27" t="s">
        <v>61</v>
      </c>
      <c r="C27" t="s">
        <v>8</v>
      </c>
      <c r="D27" s="1">
        <v>43947</v>
      </c>
      <c r="E27" s="1">
        <v>34096</v>
      </c>
      <c r="F27" s="1">
        <v>44791</v>
      </c>
      <c r="M27">
        <f t="shared" ca="1" si="0"/>
        <v>32</v>
      </c>
      <c r="O27">
        <v>2020</v>
      </c>
      <c r="P27">
        <v>4</v>
      </c>
      <c r="Q27">
        <v>26</v>
      </c>
      <c r="R27">
        <v>1993</v>
      </c>
      <c r="S27">
        <v>5</v>
      </c>
      <c r="T27">
        <v>7</v>
      </c>
    </row>
    <row r="28" spans="1:20" x14ac:dyDescent="0.3">
      <c r="A28" t="s">
        <v>62</v>
      </c>
      <c r="B28" t="s">
        <v>63</v>
      </c>
      <c r="C28" t="s">
        <v>14</v>
      </c>
      <c r="D28" s="1">
        <v>44538</v>
      </c>
      <c r="E28" s="1">
        <v>33649</v>
      </c>
      <c r="F28" s="1">
        <v>44990</v>
      </c>
      <c r="M28">
        <f t="shared" ca="1" si="0"/>
        <v>34</v>
      </c>
      <c r="O28">
        <v>2021</v>
      </c>
      <c r="P28">
        <v>12</v>
      </c>
      <c r="Q28">
        <v>8</v>
      </c>
      <c r="R28">
        <v>1992</v>
      </c>
      <c r="S28">
        <v>2</v>
      </c>
      <c r="T28">
        <v>15</v>
      </c>
    </row>
    <row r="29" spans="1:20" x14ac:dyDescent="0.3">
      <c r="A29" t="s">
        <v>64</v>
      </c>
      <c r="B29" t="s">
        <v>65</v>
      </c>
      <c r="C29" t="s">
        <v>17</v>
      </c>
      <c r="D29" s="1">
        <v>43406</v>
      </c>
      <c r="E29" s="1">
        <v>33118</v>
      </c>
      <c r="F29" s="1">
        <v>44300</v>
      </c>
      <c r="M29">
        <f t="shared" ca="1" si="0"/>
        <v>35</v>
      </c>
      <c r="O29">
        <v>2018</v>
      </c>
      <c r="P29">
        <v>11</v>
      </c>
      <c r="Q29">
        <v>2</v>
      </c>
      <c r="R29">
        <v>1990</v>
      </c>
      <c r="S29">
        <v>9</v>
      </c>
      <c r="T29">
        <v>2</v>
      </c>
    </row>
    <row r="30" spans="1:20" x14ac:dyDescent="0.3">
      <c r="A30" t="s">
        <v>66</v>
      </c>
      <c r="B30" t="s">
        <v>67</v>
      </c>
      <c r="C30" t="s">
        <v>11</v>
      </c>
      <c r="D30" s="1">
        <v>43606</v>
      </c>
      <c r="E30" s="1">
        <v>34697</v>
      </c>
      <c r="F30" s="1">
        <v>44417</v>
      </c>
      <c r="M30">
        <f t="shared" ca="1" si="0"/>
        <v>31</v>
      </c>
      <c r="O30">
        <v>2019</v>
      </c>
      <c r="P30">
        <v>5</v>
      </c>
      <c r="Q30">
        <v>21</v>
      </c>
      <c r="R30">
        <v>1994</v>
      </c>
      <c r="S30">
        <v>12</v>
      </c>
      <c r="T30">
        <v>29</v>
      </c>
    </row>
    <row r="31" spans="1:20" x14ac:dyDescent="0.3">
      <c r="A31" t="s">
        <v>68</v>
      </c>
      <c r="B31" t="s">
        <v>69</v>
      </c>
      <c r="C31" t="s">
        <v>8</v>
      </c>
      <c r="D31" s="1">
        <v>44481</v>
      </c>
      <c r="E31" s="1">
        <v>32616</v>
      </c>
      <c r="F31" s="1">
        <v>44985</v>
      </c>
      <c r="M31">
        <f t="shared" ca="1" si="0"/>
        <v>36</v>
      </c>
      <c r="O31">
        <v>2021</v>
      </c>
      <c r="P31">
        <v>10</v>
      </c>
      <c r="Q31">
        <v>12</v>
      </c>
      <c r="R31">
        <v>1989</v>
      </c>
      <c r="S31">
        <v>4</v>
      </c>
      <c r="T31">
        <v>18</v>
      </c>
    </row>
    <row r="33" spans="8:20" x14ac:dyDescent="0.3">
      <c r="H33" s="5" t="s">
        <v>90</v>
      </c>
      <c r="I33" s="5" t="s">
        <v>90</v>
      </c>
      <c r="J33" s="5" t="s">
        <v>90</v>
      </c>
      <c r="K33" s="5" t="s">
        <v>90</v>
      </c>
      <c r="L33" s="5" t="s">
        <v>90</v>
      </c>
      <c r="M33" s="5" t="s">
        <v>90</v>
      </c>
      <c r="N33" s="5" t="s">
        <v>90</v>
      </c>
      <c r="O33" s="5" t="s">
        <v>90</v>
      </c>
      <c r="P33" s="5" t="s">
        <v>90</v>
      </c>
      <c r="Q33" s="5" t="s">
        <v>90</v>
      </c>
      <c r="R33" s="5" t="s">
        <v>90</v>
      </c>
      <c r="S33" s="5" t="s">
        <v>90</v>
      </c>
      <c r="T33" s="5" t="s">
        <v>90</v>
      </c>
    </row>
    <row r="34" spans="8:20" x14ac:dyDescent="0.3">
      <c r="H34" t="str">
        <f ca="1">_xlfn.FORMULATEXT(H2)</f>
        <v>=TODAY()</v>
      </c>
      <c r="I34" t="str">
        <f ca="1">_xlfn.FORMULATEXT(I2)</f>
        <v>=NOW()</v>
      </c>
      <c r="J34" t="str">
        <f ca="1">_xlfn.FORMULATEXT(J2)</f>
        <v>=DATEDIF(D2,TODAY(),"Y")</v>
      </c>
      <c r="K34" t="str">
        <f ca="1">_xlfn.FORMULATEXT(K2)</f>
        <v>=DATEDIF(D2,TODAY(),"D")</v>
      </c>
      <c r="L34" t="str">
        <f ca="1">_xlfn.FORMULATEXT(L2)</f>
        <v>=DATEDIF(D2,TODAY(),"M")</v>
      </c>
      <c r="M34" t="str">
        <f ca="1">_xlfn.FORMULATEXT(M2)</f>
        <v>=DATEDIF(E2,TODAY(),"Y")</v>
      </c>
      <c r="N34" t="str">
        <f ca="1">_xlfn.FORMULATEXT(N2)</f>
        <v>=DATEDIF(E2,TODAY(),"Y")&amp;" Years "&amp;DATEDIF(E2,TODAY(),"YM")&amp;" Months "&amp;DATEDIF(E2,TODAY(),"MD")&amp;" Days"</v>
      </c>
      <c r="O34" t="str">
        <f ca="1">_xlfn.FORMULATEXT(O2)</f>
        <v>=YEAR(D2:D31)</v>
      </c>
      <c r="P34" t="str">
        <f ca="1">_xlfn.FORMULATEXT(P2)</f>
        <v>=MONTH(D2:D31)</v>
      </c>
      <c r="Q34" t="str">
        <f ca="1">_xlfn.FORMULATEXT(Q2)</f>
        <v>=DAY(D2:D31)</v>
      </c>
      <c r="R34" t="str">
        <f ca="1">_xlfn.FORMULATEXT(R2)</f>
        <v>=YEAR(E2:E31)</v>
      </c>
      <c r="S34" t="str">
        <f ca="1">_xlfn.FORMULATEXT(S2)</f>
        <v>=MONTH(E2:E31)</v>
      </c>
      <c r="T34" t="str">
        <f ca="1">_xlfn.FORMULATEXT(T2)</f>
        <v>=DAY(E2:E31)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2026-03-08T10:56:59Z</dcterms:created>
  <dcterms:modified xsi:type="dcterms:W3CDTF">2026-03-09T12:26:41Z</dcterms:modified>
</cp:coreProperties>
</file>