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HYA KOTA\Downloads\"/>
    </mc:Choice>
  </mc:AlternateContent>
  <xr:revisionPtr revIDLastSave="0" documentId="13_ncr:1_{5E7F6957-D8CE-413D-A546-42FF0F87CA24}" xr6:coauthVersionLast="47" xr6:coauthVersionMax="47" xr10:uidLastSave="{00000000-0000-0000-0000-000000000000}"/>
  <bookViews>
    <workbookView xWindow="-108" yWindow="-108" windowWidth="23256" windowHeight="12456" xr2:uid="{688254B4-E999-4121-AD25-C2A5190CF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20" i="1" l="1"/>
  <c r="BW17" i="1"/>
  <c r="BW29" i="1"/>
  <c r="BW26" i="1"/>
  <c r="BW23" i="1"/>
  <c r="BX29" i="1"/>
  <c r="BX26" i="1"/>
  <c r="BX23" i="1"/>
  <c r="BX20" i="1"/>
  <c r="BX17" i="1"/>
  <c r="BX14" i="1"/>
  <c r="BX11" i="1"/>
  <c r="BX8" i="1"/>
  <c r="BX5" i="1"/>
  <c r="BX2" i="1"/>
  <c r="BW14" i="1"/>
  <c r="BW11" i="1"/>
  <c r="BW8" i="1"/>
  <c r="BW5" i="1"/>
  <c r="BW2" i="1"/>
  <c r="BV29" i="1"/>
  <c r="BV26" i="1"/>
  <c r="BV23" i="1"/>
  <c r="BV20" i="1"/>
  <c r="BV17" i="1"/>
  <c r="BV14" i="1"/>
  <c r="BV11" i="1"/>
  <c r="BV8" i="1"/>
  <c r="BV5" i="1"/>
  <c r="BV2" i="1"/>
  <c r="BU29" i="1"/>
  <c r="BU26" i="1"/>
  <c r="BU23" i="1"/>
  <c r="BU20" i="1"/>
  <c r="BU17" i="1"/>
  <c r="BU14" i="1"/>
  <c r="BU11" i="1"/>
  <c r="BU8" i="1"/>
  <c r="BU5" i="1"/>
  <c r="BU2" i="1"/>
  <c r="BT3" i="1"/>
  <c r="BT4" i="1"/>
  <c r="BT5" i="1"/>
  <c r="BT6" i="1"/>
  <c r="BT7" i="1"/>
  <c r="BT8" i="1"/>
  <c r="BT9" i="1"/>
  <c r="BT10" i="1"/>
  <c r="BT11" i="1"/>
  <c r="BT12" i="1"/>
  <c r="BT2" i="1"/>
  <c r="BT30" i="1"/>
  <c r="BT31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S27" i="1"/>
  <c r="BS28" i="1"/>
  <c r="BS29" i="1"/>
  <c r="BS30" i="1"/>
  <c r="BS31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3" i="1"/>
  <c r="BS4" i="1"/>
  <c r="BS5" i="1"/>
  <c r="BS6" i="1"/>
  <c r="BS7" i="1"/>
  <c r="BS8" i="1"/>
  <c r="BS9" i="1"/>
  <c r="BS2" i="1"/>
  <c r="BR30" i="1"/>
  <c r="BR31" i="1"/>
  <c r="BR20" i="1"/>
  <c r="BR21" i="1"/>
  <c r="BR22" i="1"/>
  <c r="BR23" i="1"/>
  <c r="BR24" i="1"/>
  <c r="BR25" i="1"/>
  <c r="BR26" i="1"/>
  <c r="BR27" i="1"/>
  <c r="BR28" i="1"/>
  <c r="BR29" i="1"/>
  <c r="BR10" i="1"/>
  <c r="BR11" i="1"/>
  <c r="BR12" i="1"/>
  <c r="BR13" i="1"/>
  <c r="BR14" i="1"/>
  <c r="BR15" i="1"/>
  <c r="BR16" i="1"/>
  <c r="BR17" i="1"/>
  <c r="BR18" i="1"/>
  <c r="BR19" i="1"/>
  <c r="BR3" i="1"/>
  <c r="BR4" i="1"/>
  <c r="BR5" i="1"/>
  <c r="BR6" i="1"/>
  <c r="BR7" i="1"/>
  <c r="BR8" i="1"/>
  <c r="BR9" i="1"/>
  <c r="BR2" i="1"/>
  <c r="BQ2" i="1"/>
  <c r="BQ27" i="1"/>
  <c r="BQ28" i="1"/>
  <c r="BQ29" i="1"/>
  <c r="BQ30" i="1"/>
  <c r="BQ31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3" i="1"/>
  <c r="BQ4" i="1"/>
  <c r="BQ5" i="1"/>
  <c r="BQ6" i="1"/>
  <c r="BQ7" i="1"/>
  <c r="BQ8" i="1"/>
  <c r="BQ9" i="1"/>
  <c r="BQ10" i="1"/>
  <c r="BP23" i="1"/>
  <c r="BP24" i="1"/>
  <c r="BP25" i="1"/>
  <c r="BP26" i="1"/>
  <c r="BP27" i="1"/>
  <c r="BP28" i="1"/>
  <c r="BP29" i="1"/>
  <c r="BP30" i="1"/>
  <c r="BP31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3" i="1"/>
  <c r="BP4" i="1"/>
  <c r="BP5" i="1"/>
  <c r="BP6" i="1"/>
  <c r="BP7" i="1"/>
  <c r="BP8" i="1"/>
  <c r="BP2" i="1"/>
  <c r="BO23" i="1"/>
  <c r="BO24" i="1"/>
  <c r="BO25" i="1"/>
  <c r="BO26" i="1"/>
  <c r="BO27" i="1"/>
  <c r="BO28" i="1"/>
  <c r="BO29" i="1"/>
  <c r="BO30" i="1"/>
  <c r="BO31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3" i="1"/>
  <c r="BO4" i="1"/>
  <c r="BO5" i="1"/>
  <c r="BO6" i="1"/>
  <c r="BO7" i="1"/>
  <c r="BO8" i="1"/>
  <c r="BO9" i="1"/>
  <c r="BO10" i="1"/>
  <c r="BO2" i="1"/>
  <c r="BN2" i="1"/>
  <c r="BN27" i="1"/>
  <c r="BN28" i="1"/>
  <c r="BN29" i="1"/>
  <c r="BN30" i="1"/>
  <c r="BN3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3" i="1"/>
  <c r="BN4" i="1"/>
  <c r="BN5" i="1"/>
  <c r="BN6" i="1"/>
  <c r="BN7" i="1"/>
  <c r="BN8" i="1"/>
  <c r="BN9" i="1"/>
  <c r="BN10" i="1"/>
  <c r="BN11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" i="1"/>
  <c r="BM4" i="1"/>
  <c r="BM5" i="1"/>
  <c r="BM6" i="1"/>
  <c r="BM7" i="1"/>
  <c r="BM8" i="1"/>
  <c r="BM9" i="1"/>
  <c r="BM10" i="1"/>
  <c r="BM11" i="1"/>
  <c r="BM12" i="1"/>
  <c r="BM2" i="1"/>
  <c r="BL29" i="1"/>
  <c r="BL30" i="1"/>
  <c r="BL31" i="1"/>
  <c r="BL19" i="1"/>
  <c r="BL20" i="1"/>
  <c r="BL21" i="1"/>
  <c r="BL22" i="1"/>
  <c r="BL23" i="1"/>
  <c r="BL24" i="1"/>
  <c r="BL25" i="1"/>
  <c r="BL26" i="1"/>
  <c r="BL27" i="1"/>
  <c r="BL28" i="1"/>
  <c r="BL8" i="1"/>
  <c r="BL9" i="1"/>
  <c r="BL10" i="1"/>
  <c r="BL11" i="1"/>
  <c r="BL12" i="1"/>
  <c r="BL13" i="1"/>
  <c r="BL14" i="1"/>
  <c r="BL15" i="1"/>
  <c r="BL16" i="1"/>
  <c r="BL17" i="1"/>
  <c r="BL18" i="1"/>
  <c r="BL3" i="1"/>
  <c r="BL4" i="1"/>
  <c r="BL5" i="1"/>
  <c r="BL6" i="1"/>
  <c r="BL7" i="1"/>
  <c r="BL2" i="1"/>
  <c r="BJ2" i="1"/>
  <c r="BK2" i="1"/>
  <c r="BK24" i="1"/>
  <c r="BK25" i="1"/>
  <c r="BK26" i="1"/>
  <c r="BK27" i="1"/>
  <c r="BK28" i="1"/>
  <c r="BK29" i="1"/>
  <c r="BK30" i="1"/>
  <c r="BK31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3" i="1"/>
  <c r="BK4" i="1"/>
  <c r="BK5" i="1"/>
  <c r="BK6" i="1"/>
  <c r="BK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9" i="1"/>
  <c r="BJ10" i="1"/>
  <c r="BJ11" i="1"/>
  <c r="BJ12" i="1"/>
  <c r="BJ13" i="1"/>
  <c r="BJ14" i="1"/>
  <c r="BJ15" i="1"/>
  <c r="BJ16" i="1"/>
  <c r="BJ17" i="1"/>
  <c r="BJ3" i="1"/>
  <c r="BJ4" i="1"/>
  <c r="BJ5" i="1"/>
  <c r="BJ6" i="1"/>
  <c r="BJ7" i="1"/>
  <c r="BJ8" i="1"/>
  <c r="BI22" i="1"/>
  <c r="BI23" i="1"/>
  <c r="BI24" i="1"/>
  <c r="BI25" i="1"/>
  <c r="BI26" i="1"/>
  <c r="BI27" i="1"/>
  <c r="BI28" i="1"/>
  <c r="BI29" i="1"/>
  <c r="BI30" i="1"/>
  <c r="BI31" i="1"/>
  <c r="BI16" i="1"/>
  <c r="BI17" i="1"/>
  <c r="BI18" i="1"/>
  <c r="BI19" i="1"/>
  <c r="BI20" i="1"/>
  <c r="BI21" i="1"/>
  <c r="BI6" i="1"/>
  <c r="BI7" i="1"/>
  <c r="BI8" i="1"/>
  <c r="BI9" i="1"/>
  <c r="BI10" i="1"/>
  <c r="BI11" i="1"/>
  <c r="BI12" i="1"/>
  <c r="BI13" i="1"/>
  <c r="BI14" i="1"/>
  <c r="BI15" i="1"/>
  <c r="BI3" i="1"/>
  <c r="BI4" i="1"/>
  <c r="BI5" i="1"/>
  <c r="BI2" i="1"/>
  <c r="BH2" i="1"/>
  <c r="BH27" i="1"/>
  <c r="BH28" i="1"/>
  <c r="BH29" i="1"/>
  <c r="BH30" i="1"/>
  <c r="BH31" i="1"/>
  <c r="BH25" i="1"/>
  <c r="BH16" i="1"/>
  <c r="BH17" i="1"/>
  <c r="BH18" i="1"/>
  <c r="BH19" i="1"/>
  <c r="BH20" i="1"/>
  <c r="BH21" i="1"/>
  <c r="BH22" i="1"/>
  <c r="BH23" i="1"/>
  <c r="BH24" i="1"/>
  <c r="BH26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AY2" i="1"/>
  <c r="AX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" i="1"/>
  <c r="BG4" i="1"/>
  <c r="BG5" i="1"/>
  <c r="BG6" i="1"/>
  <c r="BG7" i="1"/>
  <c r="BG8" i="1"/>
  <c r="BG9" i="1"/>
  <c r="BG10" i="1"/>
  <c r="BG11" i="1"/>
  <c r="BG12" i="1"/>
  <c r="BG2" i="1"/>
  <c r="BF2" i="1"/>
  <c r="BF29" i="1"/>
  <c r="BF30" i="1"/>
  <c r="BF31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3" i="1"/>
  <c r="BF4" i="1"/>
  <c r="BF5" i="1"/>
  <c r="BF6" i="1"/>
  <c r="BF7" i="1"/>
  <c r="BF8" i="1"/>
  <c r="BF9" i="1"/>
  <c r="BF10" i="1"/>
  <c r="BF11" i="1"/>
  <c r="BF12" i="1"/>
  <c r="BE30" i="1"/>
  <c r="BE31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2" i="1"/>
  <c r="BD31" i="1"/>
  <c r="BD30" i="1"/>
  <c r="BD26" i="1"/>
  <c r="BD27" i="1"/>
  <c r="BD28" i="1"/>
  <c r="BD29" i="1"/>
  <c r="BD16" i="1"/>
  <c r="BD17" i="1"/>
  <c r="BD18" i="1"/>
  <c r="BD19" i="1"/>
  <c r="BD20" i="1"/>
  <c r="BD21" i="1"/>
  <c r="BD22" i="1"/>
  <c r="BD23" i="1"/>
  <c r="BD24" i="1"/>
  <c r="BD25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2" i="1"/>
  <c r="BC2" i="1"/>
  <c r="BC31" i="1"/>
  <c r="BC28" i="1"/>
  <c r="BC29" i="1"/>
  <c r="BC30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" i="1"/>
  <c r="BB4" i="1"/>
  <c r="BB5" i="1"/>
  <c r="BB6" i="1"/>
  <c r="BB7" i="1"/>
  <c r="BB8" i="1"/>
  <c r="BB9" i="1"/>
  <c r="BB2" i="1"/>
  <c r="BA31" i="1"/>
  <c r="BA28" i="1"/>
  <c r="BA29" i="1"/>
  <c r="BA30" i="1"/>
  <c r="BA17" i="1"/>
  <c r="BA18" i="1"/>
  <c r="BA19" i="1"/>
  <c r="BA20" i="1"/>
  <c r="BA21" i="1"/>
  <c r="BA22" i="1"/>
  <c r="BA23" i="1"/>
  <c r="BA24" i="1"/>
  <c r="BA25" i="1"/>
  <c r="BA26" i="1"/>
  <c r="BA27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2" i="1"/>
  <c r="AZ2" i="1"/>
  <c r="AX21" i="1"/>
  <c r="AX22" i="1"/>
  <c r="AX23" i="1"/>
  <c r="AX24" i="1"/>
  <c r="AX25" i="1"/>
  <c r="AX26" i="1"/>
  <c r="AX27" i="1"/>
  <c r="AX28" i="1"/>
  <c r="AX29" i="1"/>
  <c r="AX30" i="1"/>
  <c r="AX31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2" i="1"/>
  <c r="X28" i="1"/>
  <c r="X29" i="1"/>
  <c r="X30" i="1"/>
  <c r="X31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3" i="1"/>
  <c r="X4" i="1"/>
  <c r="X5" i="1"/>
  <c r="X6" i="1"/>
  <c r="X7" i="1"/>
  <c r="X8" i="1"/>
  <c r="X2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" i="1"/>
  <c r="W4" i="1"/>
  <c r="W5" i="1"/>
  <c r="W6" i="1"/>
  <c r="W7" i="1"/>
  <c r="W8" i="1"/>
  <c r="W9" i="1"/>
  <c r="W2" i="1"/>
  <c r="V2" i="1"/>
  <c r="U31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" i="1"/>
  <c r="U4" i="1"/>
  <c r="U5" i="1"/>
  <c r="U6" i="1"/>
  <c r="U7" i="1"/>
  <c r="U2" i="1"/>
  <c r="T2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" i="1"/>
  <c r="T4" i="1"/>
  <c r="T5" i="1"/>
  <c r="T6" i="1"/>
  <c r="T7" i="1"/>
  <c r="T8" i="1"/>
  <c r="T9" i="1"/>
  <c r="T10" i="1"/>
  <c r="S2" i="1"/>
  <c r="R2" i="1"/>
  <c r="R25" i="1"/>
  <c r="R26" i="1"/>
  <c r="R27" i="1"/>
  <c r="R28" i="1"/>
  <c r="R29" i="1"/>
  <c r="R30" i="1"/>
  <c r="R3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3" i="1"/>
  <c r="R4" i="1"/>
  <c r="R5" i="1"/>
  <c r="R6" i="1"/>
  <c r="R7" i="1"/>
  <c r="R8" i="1"/>
  <c r="R9" i="1"/>
  <c r="R10" i="1"/>
  <c r="R11" i="1"/>
  <c r="Q2" i="1"/>
  <c r="P2" i="1"/>
  <c r="O2" i="1"/>
  <c r="N2" i="1"/>
  <c r="M2" i="1"/>
  <c r="CG11" i="1"/>
  <c r="CG10" i="1"/>
  <c r="CG9" i="1"/>
  <c r="CG8" i="1"/>
  <c r="CG7" i="1"/>
  <c r="CG6" i="1"/>
  <c r="CG5" i="1"/>
  <c r="CG4" i="1"/>
  <c r="CG3" i="1"/>
  <c r="CG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CE5" i="1"/>
  <c r="CE4" i="1"/>
  <c r="CE3" i="1"/>
  <c r="CE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CC8" i="1"/>
  <c r="CC7" i="1"/>
  <c r="CC6" i="1"/>
  <c r="CC5" i="1"/>
  <c r="CC4" i="1"/>
  <c r="CC3" i="1"/>
  <c r="CC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CA16" i="1"/>
  <c r="CA15" i="1"/>
  <c r="CA14" i="1"/>
  <c r="CA13" i="1"/>
  <c r="CA12" i="1"/>
  <c r="CA11" i="1"/>
  <c r="CA10" i="1"/>
  <c r="CA9" i="1"/>
  <c r="CA8" i="1"/>
  <c r="CA7" i="1"/>
  <c r="CA6" i="1"/>
  <c r="CA5" i="1"/>
  <c r="CA4" i="1"/>
  <c r="CA3" i="1"/>
  <c r="CA2" i="1"/>
</calcChain>
</file>

<file path=xl/sharedStrings.xml><?xml version="1.0" encoding="utf-8"?>
<sst xmlns="http://schemas.openxmlformats.org/spreadsheetml/2006/main" count="202" uniqueCount="176">
  <si>
    <t>Emp_ID</t>
  </si>
  <si>
    <t>Name</t>
  </si>
  <si>
    <t>Department</t>
  </si>
  <si>
    <t>Join_Date</t>
  </si>
  <si>
    <t>DOB</t>
  </si>
  <si>
    <t>Last_Promotion</t>
  </si>
  <si>
    <t>Sales_Q1</t>
  </si>
  <si>
    <t>Sales_Q2</t>
  </si>
  <si>
    <t>Sales_Q3</t>
  </si>
  <si>
    <t>Sales_Q4</t>
  </si>
  <si>
    <t>Target</t>
  </si>
  <si>
    <t>E001</t>
  </si>
  <si>
    <t>Amit Kumar</t>
  </si>
  <si>
    <t>HR</t>
  </si>
  <si>
    <t>E002</t>
  </si>
  <si>
    <t>Priya Sharma</t>
  </si>
  <si>
    <t>IT</t>
  </si>
  <si>
    <t>E003</t>
  </si>
  <si>
    <t>Rohan Verma</t>
  </si>
  <si>
    <t>Finance</t>
  </si>
  <si>
    <t>E004</t>
  </si>
  <si>
    <t>Neha Singh</t>
  </si>
  <si>
    <t>Marketing</t>
  </si>
  <si>
    <t>E005</t>
  </si>
  <si>
    <t>Vivek Yadav</t>
  </si>
  <si>
    <t>E006</t>
  </si>
  <si>
    <t>Kavita Joshi</t>
  </si>
  <si>
    <t>E007</t>
  </si>
  <si>
    <t>Manish Gupta</t>
  </si>
  <si>
    <t>E008</t>
  </si>
  <si>
    <t>Sneha Patil</t>
  </si>
  <si>
    <t>E009</t>
  </si>
  <si>
    <t>Ankit Jain</t>
  </si>
  <si>
    <t>E010</t>
  </si>
  <si>
    <t>Shreya Mehta</t>
  </si>
  <si>
    <t>E011</t>
  </si>
  <si>
    <t>Rajesh Kumar</t>
  </si>
  <si>
    <t>E012</t>
  </si>
  <si>
    <t>Pooja Rani</t>
  </si>
  <si>
    <t>E013</t>
  </si>
  <si>
    <t>Deepak Singh</t>
  </si>
  <si>
    <t>E014</t>
  </si>
  <si>
    <t>Anjali Nair</t>
  </si>
  <si>
    <t>E015</t>
  </si>
  <si>
    <t>Suresh Babu</t>
  </si>
  <si>
    <t>E016</t>
  </si>
  <si>
    <t>Rekha Rao</t>
  </si>
  <si>
    <t>E017</t>
  </si>
  <si>
    <t>Ajay Kumar</t>
  </si>
  <si>
    <t>E018</t>
  </si>
  <si>
    <t>Sonia Kapoor</t>
  </si>
  <si>
    <t>E019</t>
  </si>
  <si>
    <t>Varun Das</t>
  </si>
  <si>
    <t>E020</t>
  </si>
  <si>
    <t>Meera Iyer</t>
  </si>
  <si>
    <t>E021</t>
  </si>
  <si>
    <t>Karan Singh</t>
  </si>
  <si>
    <t>E022</t>
  </si>
  <si>
    <t>Aditi Mishra</t>
  </si>
  <si>
    <t>E023</t>
  </si>
  <si>
    <t>Sunil Joshi</t>
  </si>
  <si>
    <t>E024</t>
  </si>
  <si>
    <t>Ritu Sharma</t>
  </si>
  <si>
    <t>E025</t>
  </si>
  <si>
    <t>Arjun Malhotra</t>
  </si>
  <si>
    <t>E026</t>
  </si>
  <si>
    <t>Komal Chauhan</t>
  </si>
  <si>
    <t>E027</t>
  </si>
  <si>
    <t>Mohit Gupta</t>
  </si>
  <si>
    <t>E028</t>
  </si>
  <si>
    <t>Divya Sharma</t>
  </si>
  <si>
    <t>E029</t>
  </si>
  <si>
    <t>Nitin Kumar</t>
  </si>
  <si>
    <t>E030</t>
  </si>
  <si>
    <t>Swati Verma</t>
  </si>
  <si>
    <t>1.TODAY</t>
  </si>
  <si>
    <t>2.NOW</t>
  </si>
  <si>
    <t>3.TOTAL YEARS</t>
  </si>
  <si>
    <t>4.NO.OF MONTHS</t>
  </si>
  <si>
    <t>5.NO.OF DAYS</t>
  </si>
  <si>
    <t>6.AGE</t>
  </si>
  <si>
    <t>7.EXACT AGE</t>
  </si>
  <si>
    <t>8.JOINIONG YEAR</t>
  </si>
  <si>
    <t>9.JOINING MONTH</t>
  </si>
  <si>
    <t>10.JOINING DAY</t>
  </si>
  <si>
    <t>11.BIRTH  YEAR</t>
  </si>
  <si>
    <t>12.BIRTH MONTH</t>
  </si>
  <si>
    <t>13.BIRTH DAY</t>
  </si>
  <si>
    <t>14.YEARS SINCE LAST_PROMOTION</t>
  </si>
  <si>
    <t>15.MONTHS SINCE LAST_PROMOTION</t>
  </si>
  <si>
    <t>16.DAYS SINCE LAST_PROMOTION</t>
  </si>
  <si>
    <t>17.TODAY YEAR</t>
  </si>
  <si>
    <t>18.TODAY MONTH</t>
  </si>
  <si>
    <t>19.TODAY DAY</t>
  </si>
  <si>
    <t>20.CURRENT TIME</t>
  </si>
  <si>
    <t>21.TOTAL EMPLOYEES</t>
  </si>
  <si>
    <t>22.HR  COUNT</t>
  </si>
  <si>
    <t>23.IT COUNT</t>
  </si>
  <si>
    <t>24.TOTAL Q1 SALES</t>
  </si>
  <si>
    <t>25.TOTAL Q2 SALES</t>
  </si>
  <si>
    <t>26.TOTAL Q3 SALES</t>
  </si>
  <si>
    <t>27.TOTAL Q4 SALES</t>
  </si>
  <si>
    <t>28.AVERAGE Q1 SALES</t>
  </si>
  <si>
    <t>29.AVERAGE Q2 SALES</t>
  </si>
  <si>
    <t>30.AVERAGE Q3 SALES</t>
  </si>
  <si>
    <t>31.AVERAGE Q4 SALES</t>
  </si>
  <si>
    <t xml:space="preserve">32.MAX Q1 SALES </t>
  </si>
  <si>
    <t>33.MAX Q2 SALES</t>
  </si>
  <si>
    <t>34.MEDIAN Q3 SALES</t>
  </si>
  <si>
    <t>35.MEDIAN Q4 SALES</t>
  </si>
  <si>
    <t>36.MIN Q1 SALES</t>
  </si>
  <si>
    <t>37.MIN Q2 SALES</t>
  </si>
  <si>
    <t>38.SUM OF TOTAL ANNUAL SALES</t>
  </si>
  <si>
    <t>39.OVERALL SUM OF ALL ANNUAL SALES</t>
  </si>
  <si>
    <t>40.OVERALL AVERAGE OF ALL ANNUAL SALES</t>
  </si>
  <si>
    <t>41.CHECK IF Q1&gt;TARGET FOR EACH EMP</t>
  </si>
  <si>
    <t>42. Check if Q2 sales are greater than 50000 OR Q3 sales are greater than 55000 (OR).</t>
  </si>
  <si>
    <t>43.EMP NOT IN HR</t>
  </si>
  <si>
    <t>44.DISPLAY PASS IF Q4&gt;TARGET</t>
  </si>
  <si>
    <t>45.DISPLAY "ON TARGET" IF ALL QUARTERS SALES&gt;=TARGET</t>
  </si>
  <si>
    <t>46.DISPLAY ABOVE AVERAGEIF Q1 ARE ABOVE THE AVERAGE Q1 SALES</t>
  </si>
  <si>
    <t>47.DISPLAY BELOW AVERAGEIF Q2 ARE ABOVE THE AVERAGE Q2 SALES</t>
  </si>
  <si>
    <t>48.DISPLAY "HIGH PERORMER" IF ANNUAL SALES&gt;200000,ELSE "NORMAL"</t>
  </si>
  <si>
    <t>49.DISPLAY NEW JOINER IF JOINING YEAR IS 2022</t>
  </si>
  <si>
    <t>50.DISPALY OLD EMP IF YEAR BEFORE 2020</t>
  </si>
  <si>
    <t>51.DISPLAY ELIGIBLE FOR PROMOTION IF YEARS&gt;2 SINCE LAST PROMOTION</t>
  </si>
  <si>
    <t>52.DISPLAY YOUNG IF AGE IS BELOW 30 ELSE EXPERIENCED</t>
  </si>
  <si>
    <t>53.DISPLAY TEARGET ACHIEVED IF Q1+Q2+Q3+Q4&gt;=TARGET*4</t>
  </si>
  <si>
    <t>54.DISPLAY LOW IF Q3&lt;50000</t>
  </si>
  <si>
    <t>55.DISPLAY GOOD Q2 IF Q2&gt;55000</t>
  </si>
  <si>
    <t>56.DISPLAY BONUS IF Q4&gt;55000 AND IT DEPT</t>
  </si>
  <si>
    <t>57.DISPLAY NEEDS TRANING IF Q1&lt;48000</t>
  </si>
  <si>
    <t>58.DISPLAY STAR PERFORMER IF ALL QUARTER SALES&gt;55000</t>
  </si>
  <si>
    <t>59.DISPLAY CHECK IF Q2&lt;45000 OR Q4&lt;45000</t>
  </si>
  <si>
    <t>60.DISPLAY OK IF Q1&gt;=TARGET AND Q2&gt;=TARGET</t>
  </si>
  <si>
    <t>61.SUM Q1 IF IT DEPT</t>
  </si>
  <si>
    <t>62.SUM Q2 IF HR DEPT</t>
  </si>
  <si>
    <t>63.SUM Q3 IF FINANCE DEPT</t>
  </si>
  <si>
    <t>64.SUM Q4 IF MARKETING DEPT</t>
  </si>
  <si>
    <t>65.COUNT EMP WITH SALES Q1&gt;50000</t>
  </si>
  <si>
    <t>66.COUNT EMP WITH SALES Q2&gt;55000</t>
  </si>
  <si>
    <t>67.COUNT EMP IN FINANCE WITH Q3&gt;55000</t>
  </si>
  <si>
    <t>68.COUNT EMP IN IT WITH Q4&gt;58000</t>
  </si>
  <si>
    <t>69.AVERAGE Q1 SALES FOR EMP IN HR</t>
  </si>
  <si>
    <t>70.AVERAGE Q2 SALES FOR EMP IN IT</t>
  </si>
  <si>
    <t>71.AVERAGE Q3 SALES FOR EMP IN FINANCE</t>
  </si>
  <si>
    <t>72.AVERAGE Q4 SALES FOR EMP IN MARKETING</t>
  </si>
  <si>
    <t>73.SUM Q1 SALES FOR EMP WITH TARGET&gt;50000</t>
  </si>
  <si>
    <t>74.SUM Q2 SALES FOR EMP WITH TARGET&gt;52000</t>
  </si>
  <si>
    <t>75.SUM Q3 SALES FOR EMP WITH TARGET&gt;54000</t>
  </si>
  <si>
    <t>76.SUM Q4 SALES FOR EMP WITH TARGET&gt;55000</t>
  </si>
  <si>
    <t>77.AVERAGE Q1 SALES FOR EMP WITH TARGET&gt;50000</t>
  </si>
  <si>
    <t>78.AVERAGE Q2 SALES FOR EMP WITH TARGET&gt;52000</t>
  </si>
  <si>
    <t>79.AVERAGE Q3 SALES FOR EMP WITH TARGET&gt;54000</t>
  </si>
  <si>
    <t>80.AVERAGE Q4 SALES FOR EMP WITH TARGET&gt;55000</t>
  </si>
  <si>
    <t>81.SUM Q1 SALES FOR EMP IN HR WITH Q1&gt;48000</t>
  </si>
  <si>
    <t>82.SUM Q2 SALES FOR EMP IN IT WITH Q2&gt;53000</t>
  </si>
  <si>
    <t>83.SUM Q3 SALES FOR EMP IN FINANCE WITH Q3&gt;55000</t>
  </si>
  <si>
    <t>84.SUM Q4 SALES FOR EMP IN MARKETING WITH Q4&gt;48000</t>
  </si>
  <si>
    <t>85.COUNT EMP IN HR WITH Q1&gt;48000</t>
  </si>
  <si>
    <t>86.COUNT EMP IN IT WITH Q2&gt;53000</t>
  </si>
  <si>
    <t>87.COUNT EMP IN FINANCE WITH Q3&gt;55000</t>
  </si>
  <si>
    <t>88.COUNT EMP IN MARKETING WITH Q4&gt;48000</t>
  </si>
  <si>
    <t>89.AVERAGE Q1 SALES FOR HR DEPT WITH Q1&gt;48000</t>
  </si>
  <si>
    <t>90.AVERAGE Q2 SALES FOR IT DEPT WITH Q2&gt;53000</t>
  </si>
  <si>
    <t>91.AVEARAGE Q3 SALES FOR FINANCE DEPT WITH Q3&gt;55000</t>
  </si>
  <si>
    <t>92.AVERAGE Q4 SALES FOR MARKETING DEPT WITH Q4&gt;48000</t>
  </si>
  <si>
    <t>93.SUM Q1 SALES FOR EMP JOINED AFTER 2020</t>
  </si>
  <si>
    <t>94.SUM Q2 SALES FOR EMP JOINED AFTER 2021</t>
  </si>
  <si>
    <t>95.SUM Q3 SALES FOR EMP JOINED BEFORE 2020</t>
  </si>
  <si>
    <t>96.SUM Q4 SALES FOR EMP JOINED IN 2021</t>
  </si>
  <si>
    <t>97.AVERAGE Q1 SALES FOR EMP JOINED IN 2022</t>
  </si>
  <si>
    <t>98.AVERAGE Q2 SALES FOR EMP JOINED IN 2021</t>
  </si>
  <si>
    <t>99.AVERAGE Q3 SALES FOR EMP JOINED IN 2020</t>
  </si>
  <si>
    <t>100.AVERAGE Q4 SALES FOR EMP JOINED IN2019</t>
  </si>
  <si>
    <t>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</si>
</sst>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4817-8A3F-46C5-B346-CC74E733F594}">
  <dimension ref="A1:CG31"/>
  <sheetViews>
    <sheetView tabSelected="1" topLeftCell="BX1" zoomScale="138" workbookViewId="0">
      <selection activeCell="CG12" sqref="CG12"/>
    </sheetView>
  </sheetViews>
  <sheetFormatPr defaultRowHeight="14.4" x14ac:dyDescent="0.3"/>
  <cols>
    <col min="2" max="2" width="12.77734375" customWidth="1"/>
    <col min="3" max="4" width="11.77734375" customWidth="1"/>
    <col min="5" max="5" width="11.44140625" customWidth="1"/>
    <col min="6" max="6" width="14.6640625" customWidth="1"/>
    <col min="13" max="13" width="12" customWidth="1"/>
    <col min="14" max="14" width="15.44140625" bestFit="1" customWidth="1"/>
    <col min="15" max="15" width="22.5546875" customWidth="1"/>
    <col min="16" max="16" width="25" customWidth="1"/>
    <col min="17" max="17" width="22.77734375" customWidth="1"/>
    <col min="18" max="18" width="23.21875" customWidth="1"/>
    <col min="19" max="19" width="53.77734375" customWidth="1"/>
    <col min="20" max="20" width="15.5546875" customWidth="1"/>
    <col min="21" max="21" width="16.44140625" customWidth="1"/>
    <col min="22" max="22" width="17.109375" customWidth="1"/>
    <col min="23" max="23" width="14.6640625" customWidth="1"/>
    <col min="24" max="24" width="16.33203125" customWidth="1"/>
    <col min="25" max="25" width="14.109375" customWidth="1"/>
    <col min="26" max="26" width="29.88671875" customWidth="1"/>
    <col min="27" max="27" width="32.5546875" customWidth="1"/>
    <col min="28" max="28" width="29.44140625" customWidth="1"/>
    <col min="29" max="29" width="14.21875" customWidth="1"/>
    <col min="30" max="30" width="15.88671875" customWidth="1"/>
    <col min="31" max="31" width="13.33203125" customWidth="1"/>
    <col min="32" max="32" width="16.33203125" customWidth="1"/>
    <col min="33" max="33" width="19.88671875" customWidth="1"/>
    <col min="34" max="34" width="21.5546875" customWidth="1"/>
    <col min="35" max="35" width="19.33203125" customWidth="1"/>
    <col min="36" max="36" width="17.109375" customWidth="1"/>
    <col min="37" max="37" width="18.33203125" customWidth="1"/>
    <col min="38" max="38" width="17.88671875" customWidth="1"/>
    <col min="39" max="39" width="17.109375" customWidth="1"/>
    <col min="40" max="40" width="19.6640625" customWidth="1"/>
    <col min="41" max="41" width="20.109375" customWidth="1"/>
    <col min="42" max="42" width="19.33203125" customWidth="1"/>
    <col min="43" max="43" width="19.5546875" customWidth="1"/>
    <col min="44" max="44" width="16" customWidth="1"/>
    <col min="45" max="45" width="15.77734375" customWidth="1"/>
    <col min="46" max="46" width="18.109375" customWidth="1"/>
    <col min="47" max="47" width="19.44140625" customWidth="1"/>
    <col min="48" max="48" width="16.77734375" customWidth="1"/>
    <col min="49" max="49" width="15.5546875" customWidth="1"/>
    <col min="50" max="50" width="28.6640625" customWidth="1"/>
    <col min="51" max="51" width="34.109375" customWidth="1"/>
    <col min="52" max="52" width="37.88671875" customWidth="1"/>
    <col min="53" max="53" width="33.77734375" customWidth="1"/>
    <col min="54" max="54" width="64.5546875" customWidth="1"/>
    <col min="55" max="55" width="26.6640625" customWidth="1"/>
    <col min="56" max="56" width="27.77734375" customWidth="1"/>
    <col min="57" max="57" width="59.6640625" customWidth="1"/>
    <col min="58" max="58" width="58.109375" customWidth="1"/>
    <col min="59" max="59" width="58.44140625" customWidth="1"/>
    <col min="60" max="60" width="61.6640625" customWidth="1"/>
    <col min="61" max="61" width="41.5546875" customWidth="1"/>
    <col min="62" max="62" width="36.5546875" customWidth="1"/>
    <col min="63" max="63" width="63.44140625" customWidth="1"/>
    <col min="64" max="64" width="49.6640625" customWidth="1"/>
    <col min="65" max="65" width="52.44140625" customWidth="1"/>
    <col min="66" max="66" width="25.5546875" customWidth="1"/>
    <col min="67" max="67" width="29.77734375" bestFit="1" customWidth="1"/>
    <col min="68" max="68" width="38" customWidth="1"/>
    <col min="69" max="69" width="34.88671875" customWidth="1"/>
    <col min="70" max="70" width="50.77734375" customWidth="1"/>
    <col min="71" max="71" width="38.88671875" customWidth="1"/>
    <col min="72" max="72" width="41.109375" customWidth="1"/>
    <col min="73" max="73" width="41.5546875" customWidth="1"/>
    <col min="74" max="74" width="50" customWidth="1"/>
    <col min="75" max="75" width="50.5546875" customWidth="1"/>
    <col min="76" max="76" width="60" customWidth="1"/>
    <col min="79" max="79" width="96.5546875" customWidth="1"/>
    <col min="80" max="80" width="8.6640625" customWidth="1"/>
    <col min="81" max="81" width="58.88671875" customWidth="1"/>
    <col min="83" max="83" width="43.21875" customWidth="1"/>
    <col min="85" max="85" width="61" customWidth="1"/>
  </cols>
  <sheetData>
    <row r="1" spans="1:85" ht="30.6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  <c r="BA1" t="s">
        <v>115</v>
      </c>
      <c r="BB1" s="4" t="s">
        <v>116</v>
      </c>
      <c r="BC1" t="s">
        <v>117</v>
      </c>
      <c r="BD1" t="s">
        <v>118</v>
      </c>
      <c r="BE1" t="s">
        <v>119</v>
      </c>
      <c r="BF1" t="s">
        <v>120</v>
      </c>
      <c r="BG1" t="s">
        <v>121</v>
      </c>
      <c r="BH1" t="s">
        <v>122</v>
      </c>
      <c r="BI1" t="s">
        <v>123</v>
      </c>
      <c r="BJ1" t="s">
        <v>124</v>
      </c>
      <c r="BK1" t="s">
        <v>125</v>
      </c>
      <c r="BL1" t="s">
        <v>126</v>
      </c>
      <c r="BM1" t="s">
        <v>127</v>
      </c>
      <c r="BN1" t="s">
        <v>128</v>
      </c>
      <c r="BO1" t="s">
        <v>129</v>
      </c>
      <c r="BP1" t="s">
        <v>130</v>
      </c>
      <c r="BQ1" t="s">
        <v>131</v>
      </c>
      <c r="BR1" t="s">
        <v>132</v>
      </c>
      <c r="BS1" t="s">
        <v>133</v>
      </c>
      <c r="BT1" t="s">
        <v>134</v>
      </c>
      <c r="BU1" t="s">
        <v>135</v>
      </c>
      <c r="BV1" t="s">
        <v>145</v>
      </c>
      <c r="BW1" t="s">
        <v>155</v>
      </c>
      <c r="BX1" t="s">
        <v>165</v>
      </c>
      <c r="CA1" t="s">
        <v>175</v>
      </c>
    </row>
    <row r="2" spans="1:85" x14ac:dyDescent="0.3">
      <c r="A2" t="s">
        <v>11</v>
      </c>
      <c r="B2" t="s">
        <v>12</v>
      </c>
      <c r="C2" t="s">
        <v>13</v>
      </c>
      <c r="D2" s="1">
        <v>43905</v>
      </c>
      <c r="E2" s="1">
        <v>33066</v>
      </c>
      <c r="F2" s="1">
        <v>44593</v>
      </c>
      <c r="G2">
        <v>45000</v>
      </c>
      <c r="H2">
        <v>50000</v>
      </c>
      <c r="I2">
        <v>47000</v>
      </c>
      <c r="J2">
        <v>52000</v>
      </c>
      <c r="K2">
        <v>50000</v>
      </c>
      <c r="M2" s="1">
        <f ca="1">TODAY()</f>
        <v>46093</v>
      </c>
      <c r="N2" s="2">
        <f ca="1">NOW()</f>
        <v>46093.673272106484</v>
      </c>
      <c r="O2">
        <f ca="1">DATEDIF(D2,TODAY(),"Y")</f>
        <v>5</v>
      </c>
      <c r="P2">
        <f ca="1">DATEDIF(D2,TODAY(),"M")</f>
        <v>71</v>
      </c>
      <c r="Q2">
        <f ca="1">DATEDIF(D2,TODAY(),"D")</f>
        <v>2188</v>
      </c>
      <c r="R2">
        <f ca="1">DATEDIF(E2,TODAY(),"Y")</f>
        <v>35</v>
      </c>
      <c r="S2" t="str">
        <f ca="1">DATEDIF(E2,TODAY(),"Y") &amp; "Years" &amp;DATEDIF(E2,TODAY(),"YM") &amp; "Months" &amp; DATEDIF(E2,TODAY(),"MD") &amp; "Days"</f>
        <v>35Years8Months0Days</v>
      </c>
      <c r="T2">
        <f>YEAR(D2)</f>
        <v>2020</v>
      </c>
      <c r="U2">
        <f>MONTH(D2)</f>
        <v>3</v>
      </c>
      <c r="V2">
        <f>DAY(D2)</f>
        <v>15</v>
      </c>
      <c r="W2">
        <f>YEAR(E2)</f>
        <v>1990</v>
      </c>
      <c r="X2">
        <f>MONTH(E2)</f>
        <v>7</v>
      </c>
      <c r="Y2">
        <f>DAY(E2)</f>
        <v>12</v>
      </c>
      <c r="Z2">
        <f ca="1">DATEDIF(F2,TODAY(),"Y")</f>
        <v>4</v>
      </c>
      <c r="AA2">
        <f ca="1">DATEDIF(F2,TODAY(),"M")</f>
        <v>49</v>
      </c>
      <c r="AB2">
        <f ca="1">DATEDIF(F2,TODAY(),"D")</f>
        <v>1500</v>
      </c>
      <c r="AC2">
        <f ca="1">YEAR(TODAY())</f>
        <v>2026</v>
      </c>
      <c r="AD2">
        <f ca="1">MONTH(TODAY())</f>
        <v>3</v>
      </c>
      <c r="AE2">
        <f ca="1">DAY(TODAY())</f>
        <v>12</v>
      </c>
      <c r="AF2" s="3">
        <f ca="1">NOW()</f>
        <v>46093.673272106484</v>
      </c>
      <c r="AG2">
        <f>COUNTA(A2:A31)</f>
        <v>30</v>
      </c>
      <c r="AH2">
        <f>COUNTIF(C2:C31,"HR")</f>
        <v>8</v>
      </c>
      <c r="AI2">
        <f>COUNTIF(C2:C31,"IT")</f>
        <v>8</v>
      </c>
      <c r="AJ2">
        <f>SUM(G2:G31)</f>
        <v>1495000</v>
      </c>
      <c r="AK2">
        <f>SUM(H2:H31)</f>
        <v>1532000</v>
      </c>
      <c r="AL2">
        <f>SUM(I2:I31)</f>
        <v>1555000</v>
      </c>
      <c r="AM2">
        <f>SUM(J2:J31)</f>
        <v>1595000</v>
      </c>
      <c r="AN2">
        <f>AVERAGE(G2:G31)</f>
        <v>49833.333333333336</v>
      </c>
      <c r="AO2">
        <f>AVERAGE(H2:H31)</f>
        <v>51066.666666666664</v>
      </c>
      <c r="AP2">
        <f>AVERAGE(I2:I31)</f>
        <v>51833.333333333336</v>
      </c>
      <c r="AQ2">
        <f>AVERAGE(J4:J31)</f>
        <v>52964.285714285717</v>
      </c>
      <c r="AR2">
        <f>MAX(G2:G31)</f>
        <v>60000</v>
      </c>
      <c r="AS2">
        <f>MAX(H2:H31)</f>
        <v>62000</v>
      </c>
      <c r="AT2">
        <f>MEDIAN(I2:I31)</f>
        <v>51500</v>
      </c>
      <c r="AU2">
        <f>MEDIAN(J2:J31)</f>
        <v>53000</v>
      </c>
      <c r="AV2">
        <f>MIN(G2:G31)</f>
        <v>40000</v>
      </c>
      <c r="AW2">
        <f>MIN(H2:H31)</f>
        <v>42000</v>
      </c>
      <c r="AX2">
        <f>SUM(G2:J2)</f>
        <v>194000</v>
      </c>
      <c r="AY2">
        <f>SUM(G2:J31)</f>
        <v>6177000</v>
      </c>
      <c r="AZ2">
        <f>AVERAGE(G2:J31)</f>
        <v>51475</v>
      </c>
      <c r="BA2" t="str">
        <f>IF(G2&gt;K2,"YES","NO")</f>
        <v>NO</v>
      </c>
      <c r="BB2" t="str">
        <f>IF(OR(H2&gt;50000,I2&gt;55000),"YES","NO")</f>
        <v>NO</v>
      </c>
      <c r="BC2" t="str">
        <f>IF(NOT(C2="HR"),"YES","NO")</f>
        <v>NO</v>
      </c>
      <c r="BD2" t="str">
        <f>IF(J2&gt;K2,"PASS","FAIL")</f>
        <v>PASS</v>
      </c>
      <c r="BE2" t="str">
        <f>IF(AND(G2&gt;=K2,H2&gt;=K2,I2&gt;=K2,J2&gt;=K2),"On Target","Not On Target")</f>
        <v>Not On Target</v>
      </c>
      <c r="BF2" t="str">
        <f>IF(G2&gt;AVERAGE(G2:G31),"ABOVE AVERAGE","")</f>
        <v/>
      </c>
      <c r="BG2" t="str">
        <f>IF(H2&lt;AVERAGE(H2:H31),"BELOW AVERAGE","")</f>
        <v>BELOW AVERAGE</v>
      </c>
      <c r="BH2" t="str">
        <f>IF(SUM(G2:J2)&gt;2000000,"HIGH PERFORMER","NORMAL")</f>
        <v>NORMAL</v>
      </c>
      <c r="BI2" t="str">
        <f>IF(YEAR(D2)=2022,"NEW JOINER","")</f>
        <v/>
      </c>
      <c r="BJ2" t="str">
        <f>IF(YEAR(D2)&lt;2020,"OLD EMPLOYEE","")</f>
        <v/>
      </c>
      <c r="BK2" t="str">
        <f ca="1">IF(DATEDIF(F2,TODAY(),"Y")&gt;2,"ELIGIBLE FOR PROMOTION","")</f>
        <v>ELIGIBLE FOR PROMOTION</v>
      </c>
      <c r="BL2" t="str">
        <f>IF(E2&lt;30,"YOUNG","EXPERIENCED")</f>
        <v>EXPERIENCED</v>
      </c>
      <c r="BM2" t="str">
        <f>IF(SUM(G2:J2)&gt;=K2*4,"TARGET ACHIEVED","NOT ACHIEVED")</f>
        <v>NOT ACHIEVED</v>
      </c>
      <c r="BN2" t="str">
        <f>IF(I1&lt;50000,"LOW Q3","")</f>
        <v/>
      </c>
      <c r="BO2" t="str">
        <f>IF(H2&gt;55000,"GOOD Q2","")</f>
        <v/>
      </c>
      <c r="BP2" t="str">
        <f>IF(AND(J2&gt;55000,C2="IT"),"BONUS","")</f>
        <v/>
      </c>
      <c r="BQ2" t="str">
        <f>IF(G2&lt;48000,"NEEDS TRAINING","")</f>
        <v>NEEDS TRAINING</v>
      </c>
      <c r="BR2" t="str">
        <f>IF(AX2&gt;55000,"STAR PERFORMER","")</f>
        <v>STAR PERFORMER</v>
      </c>
      <c r="BS2" t="str">
        <f>IF(OR(H2&lt;45000,J2&lt;45000),"CHECK","")</f>
        <v/>
      </c>
      <c r="BT2" t="str">
        <f>IF(AND(G2&gt;=K2,H2&gt;=K2),"OK","")</f>
        <v/>
      </c>
      <c r="BU2">
        <f>SUMIF(C2:C31,"IT",G2:G31)</f>
        <v>429000</v>
      </c>
      <c r="BV2">
        <f>AVERAGEIF(C2:C31,"FINANCE",I2:I31)</f>
        <v>54000</v>
      </c>
      <c r="BW2">
        <f>SUMIF(C2:C31,"HR",G2:G31)</f>
        <v>386000</v>
      </c>
      <c r="BX2">
        <f>AVERAGEIFS(I2:I31,C2:C31,"FINANCE")</f>
        <v>54000</v>
      </c>
      <c r="BZ2">
        <v>1</v>
      </c>
      <c r="CA2" t="str">
        <f ca="1">_xlfn.FORMULATEXT(M2)</f>
        <v>=TODAY()</v>
      </c>
      <c r="CB2">
        <v>31</v>
      </c>
      <c r="CC2" t="str">
        <f ca="1">_xlfn.FORMULATEXT(AQ2)</f>
        <v>=AVERAGE(J4:J31)</v>
      </c>
      <c r="CD2">
        <v>61</v>
      </c>
      <c r="CE2" t="str">
        <f ca="1">_xlfn.FORMULATEXT(BU2)</f>
        <v>=SUMIF(C2:C31,"IT",G2:G31)</v>
      </c>
      <c r="CF2">
        <v>91</v>
      </c>
      <c r="CG2" t="str">
        <f ca="1">_xlfn.FORMULATEXT(BX2)</f>
        <v>=AVERAGEIFS(I2:I31,C2:C31,"FINANCE")</v>
      </c>
    </row>
    <row r="3" spans="1:85" x14ac:dyDescent="0.3">
      <c r="A3" t="s">
        <v>14</v>
      </c>
      <c r="B3" t="s">
        <v>15</v>
      </c>
      <c r="C3" t="s">
        <v>16</v>
      </c>
      <c r="D3" s="1">
        <v>43687</v>
      </c>
      <c r="E3" s="1">
        <v>33749</v>
      </c>
      <c r="F3" s="1">
        <v>45034</v>
      </c>
      <c r="G3">
        <v>55000</v>
      </c>
      <c r="H3">
        <v>56000</v>
      </c>
      <c r="I3">
        <v>58000</v>
      </c>
      <c r="J3">
        <v>60000</v>
      </c>
      <c r="K3">
        <v>55000</v>
      </c>
      <c r="R3">
        <f ca="1">DATEDIF(E3,TODAY(),"Y")</f>
        <v>33</v>
      </c>
      <c r="T3">
        <f t="shared" ref="T3:T31" si="0">YEAR(D3)</f>
        <v>2019</v>
      </c>
      <c r="U3">
        <f t="shared" ref="U3:U30" si="1">MONTH(D3)</f>
        <v>8</v>
      </c>
      <c r="W3">
        <f t="shared" ref="W3:W31" si="2">YEAR(E3)</f>
        <v>1992</v>
      </c>
      <c r="X3">
        <f t="shared" ref="X3:X31" si="3">MONTH(E3)</f>
        <v>5</v>
      </c>
      <c r="Y3">
        <f t="shared" ref="Y3:Y31" si="4">DAY(E3)</f>
        <v>25</v>
      </c>
      <c r="AX3">
        <f t="shared" ref="AX3:AX31" si="5">SUM(G3:J3)</f>
        <v>229000</v>
      </c>
      <c r="BA3" t="str">
        <f t="shared" ref="BA3:BA31" si="6">IF(G3&gt;K3,"YES","NO")</f>
        <v>NO</v>
      </c>
      <c r="BB3" t="str">
        <f t="shared" ref="BB3:BB31" si="7">IF(OR(H3&gt;50000,I3&gt;55000),"YES","NO")</f>
        <v>YES</v>
      </c>
      <c r="BC3" t="str">
        <f t="shared" ref="BC3:BC30" si="8">IF(NOT(C3="HR"),"YES","NO")</f>
        <v>YES</v>
      </c>
      <c r="BD3" t="str">
        <f t="shared" ref="BD3:BD29" si="9">IF(J3&gt;K3,"PASS","FAIL")</f>
        <v>PASS</v>
      </c>
      <c r="BE3" t="str">
        <f t="shared" ref="BE3:BE31" si="10">IF(AND(G3&gt;=K3,H3&gt;=K3,I3&gt;=K3,J3&gt;=K3),"On Target","Not On Target")</f>
        <v>On Target</v>
      </c>
      <c r="BF3" t="str">
        <f t="shared" ref="BF3:BF31" si="11">IF(G3&gt;AVERAGE(G3:G32),"ABOVE AVERAGE","")</f>
        <v>ABOVE AVERAGE</v>
      </c>
      <c r="BG3" t="str">
        <f t="shared" ref="BG3:BG31" si="12">IF(H3&lt;AVERAGE(H3:H32),"BELOW AVERAGE","")</f>
        <v/>
      </c>
      <c r="BH3" t="str">
        <f t="shared" ref="BH3:BH31" si="13">IF(SUM(G3:J3)&gt;2000000,"HIGH PERFORMER","NORMAL")</f>
        <v>NORMAL</v>
      </c>
      <c r="BI3" t="str">
        <f t="shared" ref="BI3:BI31" si="14">IF(YEAR(D3)=2022,"NEW JOINER","")</f>
        <v/>
      </c>
      <c r="BJ3" t="str">
        <f t="shared" ref="BJ3:BJ31" si="15">IF(YEAR(D3)&lt;2020,"OLD EMPLOYEE","")</f>
        <v>OLD EMPLOYEE</v>
      </c>
      <c r="BK3" t="str">
        <f ca="1">IF(DATEDIF(F3,TODAY(),"Y")&gt;2,"ELIGIBLE FOR PROMOTION","")</f>
        <v/>
      </c>
      <c r="BL3" t="str">
        <f t="shared" ref="BL3:BL31" si="16">IF(E3&lt;30,"YOUNG","EXPERIENCED")</f>
        <v>EXPERIENCED</v>
      </c>
      <c r="BM3" t="str">
        <f t="shared" ref="BM3:BM31" si="17">IF(SUM(G3:J3)&gt;=K3*4,"TARGET ACHIEVED","NOT ACHIEVED")</f>
        <v>TARGET ACHIEVED</v>
      </c>
      <c r="BN3" t="str">
        <f t="shared" ref="BN3:BN31" si="18">IF(I2&lt;50000,"LOW Q3","")</f>
        <v>LOW Q3</v>
      </c>
      <c r="BO3" t="str">
        <f t="shared" ref="BO3:BO31" si="19">IF(H3&gt;55000,"GOOD Q2","")</f>
        <v>GOOD Q2</v>
      </c>
      <c r="BP3" t="str">
        <f t="shared" ref="BP3:BP31" si="20">IF(AND(J3&gt;55000,C3="IT"),"BONUS","")</f>
        <v>BONUS</v>
      </c>
      <c r="BQ3" t="str">
        <f t="shared" ref="BQ3:BQ31" si="21">IF(G3&lt;48000,"NEEDS TRAINING","")</f>
        <v/>
      </c>
      <c r="BR3" t="str">
        <f t="shared" ref="BR3:BR31" si="22">IF(AX3&gt;55000,"STAR PERFORMER","")</f>
        <v>STAR PERFORMER</v>
      </c>
      <c r="BS3" t="str">
        <f t="shared" ref="BS3:BS31" si="23">IF(OR(H3&lt;45000,J3&lt;45000),"CHECK","")</f>
        <v/>
      </c>
      <c r="BT3" t="str">
        <f t="shared" ref="BT3:BT12" si="24">IF(AND(G3&gt;=K3,H3&gt;=K3),"OK","")</f>
        <v>OK</v>
      </c>
      <c r="BZ3">
        <v>2</v>
      </c>
      <c r="CA3" t="str">
        <f ca="1">_xlfn.FORMULATEXT(N2)</f>
        <v>=NOW()</v>
      </c>
      <c r="CB3">
        <v>32</v>
      </c>
      <c r="CC3" t="str">
        <f ca="1">_xlfn.FORMULATEXT(AR2)</f>
        <v>=MAX(G2:G31)</v>
      </c>
      <c r="CD3">
        <v>62</v>
      </c>
      <c r="CE3" t="str">
        <f ca="1">_xlfn.FORMULATEXT(BU5)</f>
        <v>=SUMIF(C2:C31,"HR",G2:G31)</v>
      </c>
      <c r="CF3">
        <v>92</v>
      </c>
      <c r="CG3" t="str">
        <f ca="1">_xlfn.FORMULATEXT(BX5)</f>
        <v>=AVERAGEIFS(J2:J31,C2:C31,"MARKETING")</v>
      </c>
    </row>
    <row r="4" spans="1:85" x14ac:dyDescent="0.3">
      <c r="A4" t="s">
        <v>17</v>
      </c>
      <c r="B4" t="s">
        <v>18</v>
      </c>
      <c r="C4" t="s">
        <v>19</v>
      </c>
      <c r="D4" s="1">
        <v>44505</v>
      </c>
      <c r="E4" s="1">
        <v>34379</v>
      </c>
      <c r="F4" s="1">
        <v>44907</v>
      </c>
      <c r="G4">
        <v>60000</v>
      </c>
      <c r="H4">
        <v>62000</v>
      </c>
      <c r="I4">
        <v>59000</v>
      </c>
      <c r="J4">
        <v>63000</v>
      </c>
      <c r="K4">
        <v>60000</v>
      </c>
      <c r="R4">
        <f ca="1">DATEDIF(E4,TODAY(),"Y")</f>
        <v>32</v>
      </c>
      <c r="T4">
        <f t="shared" si="0"/>
        <v>2021</v>
      </c>
      <c r="U4">
        <f t="shared" si="1"/>
        <v>11</v>
      </c>
      <c r="W4">
        <f t="shared" si="2"/>
        <v>1994</v>
      </c>
      <c r="X4">
        <f t="shared" si="3"/>
        <v>2</v>
      </c>
      <c r="Y4">
        <f t="shared" si="4"/>
        <v>14</v>
      </c>
      <c r="AX4">
        <f t="shared" si="5"/>
        <v>244000</v>
      </c>
      <c r="BA4" t="str">
        <f t="shared" si="6"/>
        <v>NO</v>
      </c>
      <c r="BB4" t="str">
        <f t="shared" si="7"/>
        <v>YES</v>
      </c>
      <c r="BC4" t="str">
        <f t="shared" si="8"/>
        <v>YES</v>
      </c>
      <c r="BD4" t="str">
        <f t="shared" si="9"/>
        <v>PASS</v>
      </c>
      <c r="BE4" t="str">
        <f t="shared" si="10"/>
        <v>Not On Target</v>
      </c>
      <c r="BF4" t="str">
        <f t="shared" si="11"/>
        <v>ABOVE AVERAGE</v>
      </c>
      <c r="BG4" t="str">
        <f t="shared" si="12"/>
        <v/>
      </c>
      <c r="BH4" t="str">
        <f t="shared" si="13"/>
        <v>NORMAL</v>
      </c>
      <c r="BI4" t="str">
        <f t="shared" si="14"/>
        <v/>
      </c>
      <c r="BJ4" t="str">
        <f t="shared" si="15"/>
        <v/>
      </c>
      <c r="BK4" t="str">
        <f ca="1">IF(DATEDIF(F4,TODAY(),"Y")&gt;2,"ELIGIBLE FOR PROMOTION","")</f>
        <v>ELIGIBLE FOR PROMOTION</v>
      </c>
      <c r="BL4" t="str">
        <f t="shared" si="16"/>
        <v>EXPERIENCED</v>
      </c>
      <c r="BM4" t="str">
        <f t="shared" si="17"/>
        <v>TARGET ACHIEVED</v>
      </c>
      <c r="BN4" t="str">
        <f t="shared" si="18"/>
        <v/>
      </c>
      <c r="BO4" t="str">
        <f t="shared" si="19"/>
        <v>GOOD Q2</v>
      </c>
      <c r="BP4" t="str">
        <f t="shared" si="20"/>
        <v/>
      </c>
      <c r="BQ4" t="str">
        <f t="shared" si="21"/>
        <v/>
      </c>
      <c r="BR4" t="str">
        <f t="shared" si="22"/>
        <v>STAR PERFORMER</v>
      </c>
      <c r="BS4" t="str">
        <f t="shared" si="23"/>
        <v/>
      </c>
      <c r="BT4" t="str">
        <f t="shared" si="24"/>
        <v>OK</v>
      </c>
      <c r="BU4" t="s">
        <v>136</v>
      </c>
      <c r="BV4" t="s">
        <v>146</v>
      </c>
      <c r="BW4" t="s">
        <v>156</v>
      </c>
      <c r="BX4" t="s">
        <v>166</v>
      </c>
      <c r="BZ4">
        <v>3</v>
      </c>
      <c r="CA4" t="str">
        <f ca="1">_xlfn.FORMULATEXT(O2)</f>
        <v>=DATEDIF(D2,TODAY(),"Y")</v>
      </c>
      <c r="CB4">
        <v>33</v>
      </c>
      <c r="CC4" t="str">
        <f ca="1">_xlfn.FORMULATEXT(AS2)</f>
        <v>=MAX(H2:H31)</v>
      </c>
      <c r="CD4">
        <v>63</v>
      </c>
      <c r="CE4" t="str">
        <f ca="1">_xlfn.FORMULATEXT(BU8)</f>
        <v>=SUMIF(C2:C31,"FINANCE",G2:G31)</v>
      </c>
      <c r="CF4">
        <v>93</v>
      </c>
      <c r="CG4" t="str">
        <f ca="1">_xlfn.FORMULATEXT(BX8)</f>
        <v>=SUMIF(D2:D31,"&gt;31-12-2020",G2:G31)</v>
      </c>
    </row>
    <row r="5" spans="1:85" x14ac:dyDescent="0.3">
      <c r="A5" t="s">
        <v>20</v>
      </c>
      <c r="B5" t="s">
        <v>21</v>
      </c>
      <c r="C5" t="s">
        <v>22</v>
      </c>
      <c r="D5" s="1">
        <v>43272</v>
      </c>
      <c r="E5" s="1">
        <v>33490</v>
      </c>
      <c r="F5" s="1">
        <v>44409</v>
      </c>
      <c r="G5">
        <v>40000</v>
      </c>
      <c r="H5">
        <v>42000</v>
      </c>
      <c r="I5">
        <v>45000</v>
      </c>
      <c r="J5">
        <v>47000</v>
      </c>
      <c r="K5">
        <v>46000</v>
      </c>
      <c r="R5">
        <f ca="1">DATEDIF(E5,TODAY(),"Y")</f>
        <v>34</v>
      </c>
      <c r="T5">
        <f t="shared" si="0"/>
        <v>2018</v>
      </c>
      <c r="U5">
        <f t="shared" si="1"/>
        <v>6</v>
      </c>
      <c r="W5">
        <f t="shared" si="2"/>
        <v>1991</v>
      </c>
      <c r="X5">
        <f t="shared" si="3"/>
        <v>9</v>
      </c>
      <c r="Y5">
        <f t="shared" si="4"/>
        <v>9</v>
      </c>
      <c r="AX5">
        <f t="shared" si="5"/>
        <v>174000</v>
      </c>
      <c r="BA5" t="str">
        <f t="shared" si="6"/>
        <v>NO</v>
      </c>
      <c r="BB5" t="str">
        <f t="shared" si="7"/>
        <v>NO</v>
      </c>
      <c r="BC5" t="str">
        <f t="shared" si="8"/>
        <v>YES</v>
      </c>
      <c r="BD5" t="str">
        <f t="shared" si="9"/>
        <v>PASS</v>
      </c>
      <c r="BE5" t="str">
        <f t="shared" si="10"/>
        <v>Not On Target</v>
      </c>
      <c r="BF5" t="str">
        <f t="shared" si="11"/>
        <v/>
      </c>
      <c r="BG5" t="str">
        <f t="shared" si="12"/>
        <v>BELOW AVERAGE</v>
      </c>
      <c r="BH5" t="str">
        <f t="shared" si="13"/>
        <v>NORMAL</v>
      </c>
      <c r="BI5" t="str">
        <f t="shared" si="14"/>
        <v/>
      </c>
      <c r="BJ5" t="str">
        <f t="shared" si="15"/>
        <v>OLD EMPLOYEE</v>
      </c>
      <c r="BK5" t="str">
        <f ca="1">IF(DATEDIF(F5,TODAY(),"Y")&gt;2,"ELIGIBLE FOR PROMOTION","")</f>
        <v>ELIGIBLE FOR PROMOTION</v>
      </c>
      <c r="BL5" t="str">
        <f t="shared" si="16"/>
        <v>EXPERIENCED</v>
      </c>
      <c r="BM5" t="str">
        <f t="shared" si="17"/>
        <v>NOT ACHIEVED</v>
      </c>
      <c r="BN5" t="str">
        <f t="shared" si="18"/>
        <v/>
      </c>
      <c r="BO5" t="str">
        <f t="shared" si="19"/>
        <v/>
      </c>
      <c r="BP5" t="str">
        <f t="shared" si="20"/>
        <v/>
      </c>
      <c r="BQ5" t="str">
        <f t="shared" si="21"/>
        <v>NEEDS TRAINING</v>
      </c>
      <c r="BR5" t="str">
        <f t="shared" si="22"/>
        <v>STAR PERFORMER</v>
      </c>
      <c r="BS5" t="str">
        <f t="shared" si="23"/>
        <v>CHECK</v>
      </c>
      <c r="BT5" t="str">
        <f t="shared" si="24"/>
        <v/>
      </c>
      <c r="BU5">
        <f>SUMIF(C2:C31,"HR",G2:G31)</f>
        <v>386000</v>
      </c>
      <c r="BV5">
        <f>AVERAGEIF(C2:C31,"MARKETING",J2:J31)</f>
        <v>48285.714285714283</v>
      </c>
      <c r="BW5">
        <f>SUMIF(C2:C31,"IT",H2:H31)</f>
        <v>438000</v>
      </c>
      <c r="BX5">
        <f>AVERAGEIFS(J2:J31,C2:C31,"MARKETING")</f>
        <v>48285.714285714283</v>
      </c>
      <c r="BZ5">
        <v>4</v>
      </c>
      <c r="CA5" t="str">
        <f ca="1">_xlfn.FORMULATEXT(P2)</f>
        <v>=DATEDIF(D2,TODAY(),"M")</v>
      </c>
      <c r="CB5">
        <v>34</v>
      </c>
      <c r="CC5" t="str">
        <f ca="1">_xlfn.FORMULATEXT(AT2)</f>
        <v>=MEDIAN(I2:I31)</v>
      </c>
      <c r="CD5">
        <v>64</v>
      </c>
      <c r="CE5" t="str">
        <f ca="1">_xlfn.FORMULATEXT(BU11)</f>
        <v>=SUMIF(C2:C31,"MARKETING",G2:G31)</v>
      </c>
      <c r="CF5">
        <v>94</v>
      </c>
      <c r="CG5" t="str">
        <f ca="1">_xlfn.FORMULATEXT(BX11)</f>
        <v>=SUMIF(D2:D31,"&gt;31-12-2021",H2:H31)</v>
      </c>
    </row>
    <row r="6" spans="1:85" x14ac:dyDescent="0.3">
      <c r="A6" t="s">
        <v>23</v>
      </c>
      <c r="B6" t="s">
        <v>24</v>
      </c>
      <c r="C6" t="s">
        <v>16</v>
      </c>
      <c r="D6" s="1">
        <v>44670</v>
      </c>
      <c r="E6" s="1">
        <v>35033</v>
      </c>
      <c r="F6" s="1">
        <v>45061</v>
      </c>
      <c r="G6">
        <v>50000</v>
      </c>
      <c r="H6">
        <v>52000</v>
      </c>
      <c r="I6">
        <v>51000</v>
      </c>
      <c r="J6">
        <v>53000</v>
      </c>
      <c r="K6">
        <v>50000</v>
      </c>
      <c r="R6">
        <f ca="1">DATEDIF(E6,TODAY(),"Y")</f>
        <v>30</v>
      </c>
      <c r="T6">
        <f t="shared" si="0"/>
        <v>2022</v>
      </c>
      <c r="U6">
        <f t="shared" si="1"/>
        <v>4</v>
      </c>
      <c r="W6">
        <f t="shared" si="2"/>
        <v>1995</v>
      </c>
      <c r="X6">
        <f t="shared" si="3"/>
        <v>11</v>
      </c>
      <c r="Y6">
        <f t="shared" si="4"/>
        <v>30</v>
      </c>
      <c r="AX6">
        <f t="shared" si="5"/>
        <v>206000</v>
      </c>
      <c r="BA6" t="str">
        <f t="shared" si="6"/>
        <v>NO</v>
      </c>
      <c r="BB6" t="str">
        <f t="shared" si="7"/>
        <v>YES</v>
      </c>
      <c r="BC6" t="str">
        <f t="shared" si="8"/>
        <v>YES</v>
      </c>
      <c r="BD6" t="str">
        <f t="shared" si="9"/>
        <v>PASS</v>
      </c>
      <c r="BE6" t="str">
        <f t="shared" si="10"/>
        <v>On Target</v>
      </c>
      <c r="BF6" t="str">
        <f t="shared" si="11"/>
        <v>ABOVE AVERAGE</v>
      </c>
      <c r="BG6" t="str">
        <f t="shared" si="12"/>
        <v/>
      </c>
      <c r="BH6" t="str">
        <f t="shared" si="13"/>
        <v>NORMAL</v>
      </c>
      <c r="BI6" t="str">
        <f t="shared" si="14"/>
        <v>NEW JOINER</v>
      </c>
      <c r="BJ6" t="str">
        <f t="shared" si="15"/>
        <v/>
      </c>
      <c r="BK6" t="str">
        <f ca="1">IF(DATEDIF(F6,TODAY(),"Y")&gt;2,"ELIGIBLE FOR PROMOTION","")</f>
        <v/>
      </c>
      <c r="BL6" t="str">
        <f t="shared" si="16"/>
        <v>EXPERIENCED</v>
      </c>
      <c r="BM6" t="str">
        <f t="shared" si="17"/>
        <v>TARGET ACHIEVED</v>
      </c>
      <c r="BN6" t="str">
        <f t="shared" si="18"/>
        <v>LOW Q3</v>
      </c>
      <c r="BO6" t="str">
        <f t="shared" si="19"/>
        <v/>
      </c>
      <c r="BP6" t="str">
        <f t="shared" si="20"/>
        <v/>
      </c>
      <c r="BQ6" t="str">
        <f t="shared" si="21"/>
        <v/>
      </c>
      <c r="BR6" t="str">
        <f t="shared" si="22"/>
        <v>STAR PERFORMER</v>
      </c>
      <c r="BS6" t="str">
        <f t="shared" si="23"/>
        <v/>
      </c>
      <c r="BT6" t="str">
        <f t="shared" si="24"/>
        <v>OK</v>
      </c>
      <c r="BZ6">
        <v>5</v>
      </c>
      <c r="CA6" t="str">
        <f ca="1">_xlfn.FORMULATEXT(Q2)</f>
        <v>=DATEDIF(D2,TODAY(),"D")</v>
      </c>
      <c r="CB6">
        <v>35</v>
      </c>
      <c r="CC6" t="str">
        <f ca="1">_xlfn.FORMULATEXT(AU2)</f>
        <v>=MEDIAN(J2:J31)</v>
      </c>
      <c r="CD6">
        <v>65</v>
      </c>
      <c r="CE6" t="str">
        <f ca="1">_xlfn.FORMULATEXT(BU14)</f>
        <v>=COUNTIF(G2:G31,"&gt;50000")</v>
      </c>
      <c r="CF6">
        <v>95</v>
      </c>
      <c r="CG6" t="str">
        <f ca="1">_xlfn.FORMULATEXT(BX14)</f>
        <v>=SUMIF(D2:D31,"&lt;01-01-2020",I2:I31)</v>
      </c>
    </row>
    <row r="7" spans="1:85" x14ac:dyDescent="0.3">
      <c r="A7" t="s">
        <v>25</v>
      </c>
      <c r="B7" t="s">
        <v>26</v>
      </c>
      <c r="C7" t="s">
        <v>13</v>
      </c>
      <c r="D7" s="1">
        <v>43860</v>
      </c>
      <c r="E7" s="1">
        <v>32859</v>
      </c>
      <c r="F7" s="1">
        <v>44811</v>
      </c>
      <c r="G7">
        <v>47000</v>
      </c>
      <c r="H7">
        <v>48000</v>
      </c>
      <c r="I7">
        <v>49000</v>
      </c>
      <c r="J7">
        <v>50000</v>
      </c>
      <c r="K7">
        <v>48000</v>
      </c>
      <c r="R7">
        <f ca="1">DATEDIF(E7,TODAY(),"Y")</f>
        <v>36</v>
      </c>
      <c r="T7">
        <f t="shared" si="0"/>
        <v>2020</v>
      </c>
      <c r="U7">
        <f t="shared" si="1"/>
        <v>1</v>
      </c>
      <c r="W7">
        <f t="shared" si="2"/>
        <v>1989</v>
      </c>
      <c r="X7">
        <f t="shared" si="3"/>
        <v>12</v>
      </c>
      <c r="Y7">
        <f t="shared" si="4"/>
        <v>17</v>
      </c>
      <c r="AX7">
        <f t="shared" si="5"/>
        <v>194000</v>
      </c>
      <c r="BA7" t="str">
        <f t="shared" si="6"/>
        <v>NO</v>
      </c>
      <c r="BB7" t="str">
        <f t="shared" si="7"/>
        <v>NO</v>
      </c>
      <c r="BC7" t="str">
        <f t="shared" si="8"/>
        <v>NO</v>
      </c>
      <c r="BD7" t="str">
        <f t="shared" si="9"/>
        <v>PASS</v>
      </c>
      <c r="BE7" t="str">
        <f t="shared" si="10"/>
        <v>Not On Target</v>
      </c>
      <c r="BF7" t="str">
        <f t="shared" si="11"/>
        <v/>
      </c>
      <c r="BG7" t="str">
        <f t="shared" si="12"/>
        <v>BELOW AVERAGE</v>
      </c>
      <c r="BH7" t="str">
        <f t="shared" si="13"/>
        <v>NORMAL</v>
      </c>
      <c r="BI7" t="str">
        <f t="shared" si="14"/>
        <v/>
      </c>
      <c r="BJ7" t="str">
        <f t="shared" si="15"/>
        <v/>
      </c>
      <c r="BK7" t="str">
        <f ca="1">IF(DATEDIF(F7,TODAY(),"Y")&gt;2,"ELIGIBLE FOR PROMOTION","")</f>
        <v>ELIGIBLE FOR PROMOTION</v>
      </c>
      <c r="BL7" t="str">
        <f t="shared" si="16"/>
        <v>EXPERIENCED</v>
      </c>
      <c r="BM7" t="str">
        <f t="shared" si="17"/>
        <v>TARGET ACHIEVED</v>
      </c>
      <c r="BN7" t="str">
        <f t="shared" si="18"/>
        <v/>
      </c>
      <c r="BO7" t="str">
        <f t="shared" si="19"/>
        <v/>
      </c>
      <c r="BP7" t="str">
        <f t="shared" si="20"/>
        <v/>
      </c>
      <c r="BQ7" t="str">
        <f t="shared" si="21"/>
        <v>NEEDS TRAINING</v>
      </c>
      <c r="BR7" t="str">
        <f t="shared" si="22"/>
        <v>STAR PERFORMER</v>
      </c>
      <c r="BS7" t="str">
        <f t="shared" si="23"/>
        <v/>
      </c>
      <c r="BT7" t="str">
        <f t="shared" si="24"/>
        <v/>
      </c>
      <c r="BU7" t="s">
        <v>137</v>
      </c>
      <c r="BV7" t="s">
        <v>147</v>
      </c>
      <c r="BW7" t="s">
        <v>157</v>
      </c>
      <c r="BX7" t="s">
        <v>167</v>
      </c>
      <c r="BZ7">
        <v>6</v>
      </c>
      <c r="CA7" t="str">
        <f ca="1">_xlfn.FORMULATEXT(R2)</f>
        <v>=DATEDIF(E2,TODAY(),"Y")</v>
      </c>
      <c r="CB7">
        <v>36</v>
      </c>
      <c r="CC7" t="str">
        <f ca="1">_xlfn.FORMULATEXT(AV2)</f>
        <v>=MIN(G2:G31)</v>
      </c>
      <c r="CD7">
        <v>66</v>
      </c>
      <c r="CE7" t="str">
        <f ca="1">_xlfn.FORMULATEXT(BU17)</f>
        <v>=COUNTIF(H2:H31,"&gt;55000")</v>
      </c>
      <c r="CF7">
        <v>96</v>
      </c>
      <c r="CG7" t="str">
        <f ca="1">_xlfn.FORMULATEXT(BX17)</f>
        <v>=SUMIF(D2:D31,"&lt;01-01-2021",J2:J31)</v>
      </c>
    </row>
    <row r="8" spans="1:85" x14ac:dyDescent="0.3">
      <c r="A8" t="s">
        <v>27</v>
      </c>
      <c r="B8" t="s">
        <v>28</v>
      </c>
      <c r="C8" t="s">
        <v>19</v>
      </c>
      <c r="D8" s="1">
        <v>44391</v>
      </c>
      <c r="E8" s="1">
        <v>34186</v>
      </c>
      <c r="F8" s="1">
        <v>44928</v>
      </c>
      <c r="G8">
        <v>51000</v>
      </c>
      <c r="H8">
        <v>52000</v>
      </c>
      <c r="I8">
        <v>53000</v>
      </c>
      <c r="J8">
        <v>54000</v>
      </c>
      <c r="K8">
        <v>52000</v>
      </c>
      <c r="R8">
        <f ca="1">DATEDIF(E8,TODAY(),"Y")</f>
        <v>32</v>
      </c>
      <c r="T8">
        <f t="shared" si="0"/>
        <v>2021</v>
      </c>
      <c r="U8">
        <f t="shared" si="1"/>
        <v>7</v>
      </c>
      <c r="W8">
        <f t="shared" si="2"/>
        <v>1993</v>
      </c>
      <c r="X8">
        <f t="shared" si="3"/>
        <v>8</v>
      </c>
      <c r="Y8">
        <f t="shared" si="4"/>
        <v>5</v>
      </c>
      <c r="AX8">
        <f t="shared" si="5"/>
        <v>210000</v>
      </c>
      <c r="BA8" t="str">
        <f t="shared" si="6"/>
        <v>NO</v>
      </c>
      <c r="BB8" t="str">
        <f t="shared" si="7"/>
        <v>YES</v>
      </c>
      <c r="BC8" t="str">
        <f t="shared" si="8"/>
        <v>YES</v>
      </c>
      <c r="BD8" t="str">
        <f t="shared" si="9"/>
        <v>PASS</v>
      </c>
      <c r="BE8" t="str">
        <f t="shared" si="10"/>
        <v>Not On Target</v>
      </c>
      <c r="BF8" t="str">
        <f t="shared" si="11"/>
        <v>ABOVE AVERAGE</v>
      </c>
      <c r="BG8" t="str">
        <f t="shared" si="12"/>
        <v/>
      </c>
      <c r="BH8" t="str">
        <f t="shared" si="13"/>
        <v>NORMAL</v>
      </c>
      <c r="BI8" t="str">
        <f t="shared" si="14"/>
        <v/>
      </c>
      <c r="BJ8" t="str">
        <f t="shared" si="15"/>
        <v/>
      </c>
      <c r="BK8" t="str">
        <f ca="1">IF(DATEDIF(F8,TODAY(),"Y")&gt;2,"ELIGIBLE FOR PROMOTION","")</f>
        <v>ELIGIBLE FOR PROMOTION</v>
      </c>
      <c r="BL8" t="str">
        <f t="shared" si="16"/>
        <v>EXPERIENCED</v>
      </c>
      <c r="BM8" t="str">
        <f t="shared" si="17"/>
        <v>TARGET ACHIEVED</v>
      </c>
      <c r="BN8" t="str">
        <f t="shared" si="18"/>
        <v>LOW Q3</v>
      </c>
      <c r="BO8" t="str">
        <f t="shared" si="19"/>
        <v/>
      </c>
      <c r="BP8" t="str">
        <f t="shared" si="20"/>
        <v/>
      </c>
      <c r="BQ8" t="str">
        <f t="shared" si="21"/>
        <v/>
      </c>
      <c r="BR8" t="str">
        <f t="shared" si="22"/>
        <v>STAR PERFORMER</v>
      </c>
      <c r="BS8" t="str">
        <f t="shared" si="23"/>
        <v/>
      </c>
      <c r="BT8" t="str">
        <f t="shared" si="24"/>
        <v/>
      </c>
      <c r="BU8">
        <f>SUMIF(C2:C31,"FINANCE",G2:G31)</f>
        <v>367000</v>
      </c>
      <c r="BV8">
        <f>SUMIF(K2:K31,"&gt;50000",G2:G31)</f>
        <v>803000</v>
      </c>
      <c r="BW8">
        <f>SUMIF(C2:C31,"FINANCE",I2:I31)</f>
        <v>378000</v>
      </c>
      <c r="BX8">
        <f>SUMIF(D2:D31,"&gt;31-12-2020",G2:G31)</f>
        <v>684000</v>
      </c>
      <c r="BZ8">
        <v>7</v>
      </c>
      <c r="CA8" t="str">
        <f ca="1">_xlfn.FORMULATEXT(S2)</f>
        <v>=DATEDIF(E2,TODAY(),"Y") &amp; "Years" &amp;DATEDIF(E2,TODAY(),"YM") &amp; "Months" &amp; DATEDIF(E2,TODAY(),"MD") &amp; "Days"</v>
      </c>
      <c r="CB8">
        <v>37</v>
      </c>
      <c r="CC8" t="str">
        <f ca="1">_xlfn.FORMULATEXT(AW2)</f>
        <v>=MIN(H2:H31)</v>
      </c>
      <c r="CD8">
        <v>67</v>
      </c>
      <c r="CE8" t="str">
        <f ca="1">_xlfn.FORMULATEXT(BU20)</f>
        <v>=COUNTIFS(C2:C31,"FINANCE",I2:I31,"&gt;55000")</v>
      </c>
      <c r="CF8">
        <v>97</v>
      </c>
      <c r="CG8" t="str">
        <f ca="1">_xlfn.FORMULATEXT(BX20)</f>
        <v>=AVERAGEIFS(G2:G31,D2:D31,"&gt;=01-01-2022",D2:D31,"&lt;=31-12-2022")</v>
      </c>
    </row>
    <row r="9" spans="1:85" x14ac:dyDescent="0.3">
      <c r="A9" t="s">
        <v>29</v>
      </c>
      <c r="B9" t="s">
        <v>30</v>
      </c>
      <c r="C9" t="s">
        <v>22</v>
      </c>
      <c r="D9" s="1">
        <v>43826</v>
      </c>
      <c r="E9" s="1">
        <v>32960</v>
      </c>
      <c r="F9" s="1">
        <v>44377</v>
      </c>
      <c r="G9">
        <v>45000</v>
      </c>
      <c r="H9">
        <v>46000</v>
      </c>
      <c r="I9">
        <v>47000</v>
      </c>
      <c r="J9">
        <v>48000</v>
      </c>
      <c r="K9">
        <v>47000</v>
      </c>
      <c r="R9">
        <f ca="1">DATEDIF(E9,TODAY(),"Y")</f>
        <v>35</v>
      </c>
      <c r="T9">
        <f t="shared" si="0"/>
        <v>2019</v>
      </c>
      <c r="U9">
        <f t="shared" si="1"/>
        <v>12</v>
      </c>
      <c r="W9">
        <f t="shared" si="2"/>
        <v>1990</v>
      </c>
      <c r="X9">
        <f t="shared" si="3"/>
        <v>3</v>
      </c>
      <c r="Y9">
        <f t="shared" si="4"/>
        <v>28</v>
      </c>
      <c r="AX9">
        <f t="shared" si="5"/>
        <v>186000</v>
      </c>
      <c r="BA9" t="str">
        <f t="shared" si="6"/>
        <v>NO</v>
      </c>
      <c r="BB9" t="str">
        <f t="shared" si="7"/>
        <v>NO</v>
      </c>
      <c r="BC9" t="str">
        <f t="shared" si="8"/>
        <v>YES</v>
      </c>
      <c r="BD9" t="str">
        <f t="shared" si="9"/>
        <v>PASS</v>
      </c>
      <c r="BE9" t="str">
        <f t="shared" si="10"/>
        <v>Not On Target</v>
      </c>
      <c r="BF9" t="str">
        <f t="shared" si="11"/>
        <v/>
      </c>
      <c r="BG9" t="str">
        <f t="shared" si="12"/>
        <v>BELOW AVERAGE</v>
      </c>
      <c r="BH9" t="str">
        <f t="shared" si="13"/>
        <v>NORMAL</v>
      </c>
      <c r="BI9" t="str">
        <f t="shared" si="14"/>
        <v/>
      </c>
      <c r="BJ9" t="str">
        <f t="shared" si="15"/>
        <v>OLD EMPLOYEE</v>
      </c>
      <c r="BK9" t="str">
        <f ca="1">IF(DATEDIF(F9,TODAY(),"Y")&gt;2,"ELIGIBLE FOR PROMOTION","")</f>
        <v>ELIGIBLE FOR PROMOTION</v>
      </c>
      <c r="BL9" t="str">
        <f t="shared" si="16"/>
        <v>EXPERIENCED</v>
      </c>
      <c r="BM9" t="str">
        <f t="shared" si="17"/>
        <v>NOT ACHIEVED</v>
      </c>
      <c r="BN9" t="str">
        <f t="shared" si="18"/>
        <v/>
      </c>
      <c r="BO9" t="str">
        <f t="shared" si="19"/>
        <v/>
      </c>
      <c r="BP9" t="str">
        <f t="shared" si="20"/>
        <v/>
      </c>
      <c r="BQ9" t="str">
        <f t="shared" si="21"/>
        <v>NEEDS TRAINING</v>
      </c>
      <c r="BR9" t="str">
        <f t="shared" si="22"/>
        <v>STAR PERFORMER</v>
      </c>
      <c r="BS9" t="str">
        <f t="shared" si="23"/>
        <v/>
      </c>
      <c r="BT9" t="str">
        <f t="shared" si="24"/>
        <v/>
      </c>
      <c r="BV9">
        <v>7</v>
      </c>
      <c r="BZ9">
        <v>8</v>
      </c>
      <c r="CA9" t="str">
        <f ca="1">_xlfn.FORMULATEXT(T2)</f>
        <v>=YEAR(D2)</v>
      </c>
      <c r="CB9">
        <v>38</v>
      </c>
      <c r="CC9" t="str">
        <f ca="1">_xlfn.FORMULATEXT(AX2)</f>
        <v>=SUM(G2:J2)</v>
      </c>
      <c r="CD9">
        <v>68</v>
      </c>
      <c r="CE9" t="str">
        <f ca="1">_xlfn.FORMULATEXT(BU23)</f>
        <v>=COUNTIFS(C2:C31,"IT",J2:J31,"&gt;58000")</v>
      </c>
      <c r="CF9">
        <v>98</v>
      </c>
      <c r="CG9" t="str">
        <f ca="1">_xlfn.FORMULATEXT(BX23)</f>
        <v>=AVERAGEIFS(G2:G31,D2:D31,"&gt;=01-01-2021",D2:D31,"&lt;=31-12-2021")</v>
      </c>
    </row>
    <row r="10" spans="1:85" x14ac:dyDescent="0.3">
      <c r="A10" t="s">
        <v>31</v>
      </c>
      <c r="B10" t="s">
        <v>32</v>
      </c>
      <c r="C10" t="s">
        <v>16</v>
      </c>
      <c r="D10" s="1">
        <v>44706</v>
      </c>
      <c r="E10" s="1">
        <v>34495</v>
      </c>
      <c r="F10" s="1">
        <v>44996</v>
      </c>
      <c r="G10">
        <v>53000</v>
      </c>
      <c r="H10">
        <v>54000</v>
      </c>
      <c r="I10">
        <v>55000</v>
      </c>
      <c r="J10">
        <v>56000</v>
      </c>
      <c r="K10">
        <v>54000</v>
      </c>
      <c r="R10">
        <f ca="1">DATEDIF(E10,TODAY(),"Y")</f>
        <v>31</v>
      </c>
      <c r="T10">
        <f t="shared" si="0"/>
        <v>2022</v>
      </c>
      <c r="U10">
        <f t="shared" si="1"/>
        <v>5</v>
      </c>
      <c r="W10">
        <f t="shared" si="2"/>
        <v>1994</v>
      </c>
      <c r="X10">
        <f t="shared" si="3"/>
        <v>6</v>
      </c>
      <c r="Y10">
        <f t="shared" si="4"/>
        <v>10</v>
      </c>
      <c r="AX10">
        <f t="shared" si="5"/>
        <v>218000</v>
      </c>
      <c r="BA10" t="str">
        <f t="shared" si="6"/>
        <v>NO</v>
      </c>
      <c r="BB10" t="str">
        <f t="shared" si="7"/>
        <v>YES</v>
      </c>
      <c r="BC10" t="str">
        <f t="shared" si="8"/>
        <v>YES</v>
      </c>
      <c r="BD10" t="str">
        <f t="shared" si="9"/>
        <v>PASS</v>
      </c>
      <c r="BE10" t="str">
        <f t="shared" si="10"/>
        <v>Not On Target</v>
      </c>
      <c r="BF10" t="str">
        <f t="shared" si="11"/>
        <v>ABOVE AVERAGE</v>
      </c>
      <c r="BG10" t="str">
        <f t="shared" si="12"/>
        <v/>
      </c>
      <c r="BH10" t="str">
        <f t="shared" si="13"/>
        <v>NORMAL</v>
      </c>
      <c r="BI10" t="str">
        <f t="shared" si="14"/>
        <v>NEW JOINER</v>
      </c>
      <c r="BJ10" t="str">
        <f t="shared" si="15"/>
        <v/>
      </c>
      <c r="BK10" t="str">
        <f ca="1">IF(DATEDIF(F10,TODAY(),"Y")&gt;2,"ELIGIBLE FOR PROMOTION","")</f>
        <v>ELIGIBLE FOR PROMOTION</v>
      </c>
      <c r="BL10" t="str">
        <f t="shared" si="16"/>
        <v>EXPERIENCED</v>
      </c>
      <c r="BM10" t="str">
        <f t="shared" si="17"/>
        <v>TARGET ACHIEVED</v>
      </c>
      <c r="BN10" t="str">
        <f t="shared" si="18"/>
        <v>LOW Q3</v>
      </c>
      <c r="BO10" t="str">
        <f t="shared" si="19"/>
        <v/>
      </c>
      <c r="BP10" t="str">
        <f t="shared" si="20"/>
        <v>BONUS</v>
      </c>
      <c r="BQ10" t="str">
        <f t="shared" si="21"/>
        <v/>
      </c>
      <c r="BR10" t="str">
        <f t="shared" si="22"/>
        <v>STAR PERFORMER</v>
      </c>
      <c r="BS10" t="str">
        <f t="shared" si="23"/>
        <v/>
      </c>
      <c r="BT10" t="str">
        <f t="shared" si="24"/>
        <v/>
      </c>
      <c r="BU10" t="s">
        <v>138</v>
      </c>
      <c r="BV10" t="s">
        <v>148</v>
      </c>
      <c r="BW10" t="s">
        <v>158</v>
      </c>
      <c r="BX10" t="s">
        <v>168</v>
      </c>
      <c r="BZ10">
        <v>9</v>
      </c>
      <c r="CA10" t="str">
        <f ca="1">_xlfn.FORMULATEXT(U2)</f>
        <v>=MONTH(D2)</v>
      </c>
      <c r="CB10">
        <v>39</v>
      </c>
      <c r="CC10" t="str">
        <f ca="1">_xlfn.FORMULATEXT(AY2)</f>
        <v>=SUM(G2:J31)</v>
      </c>
      <c r="CD10">
        <v>69</v>
      </c>
      <c r="CE10" t="str">
        <f ca="1">_xlfn.FORMULATEXT(BU26)</f>
        <v>=AVERAGEIF(C2:C31,"IT",G2:G31)</v>
      </c>
      <c r="CF10">
        <v>99</v>
      </c>
      <c r="CG10" t="str">
        <f ca="1">_xlfn.FORMULATEXT(BX26)</f>
        <v>=AVERAGEIFS(G2:G31,D2:D31,"&gt;=01-01-2020",D2:D31,"&lt;=31-12-2020")</v>
      </c>
    </row>
    <row r="11" spans="1:85" x14ac:dyDescent="0.3">
      <c r="A11" t="s">
        <v>33</v>
      </c>
      <c r="B11" t="s">
        <v>34</v>
      </c>
      <c r="C11" t="s">
        <v>13</v>
      </c>
      <c r="D11" s="1">
        <v>44442</v>
      </c>
      <c r="E11" s="1">
        <v>35083</v>
      </c>
      <c r="F11" s="1">
        <v>44890</v>
      </c>
      <c r="G11">
        <v>49000</v>
      </c>
      <c r="H11">
        <v>50000</v>
      </c>
      <c r="I11">
        <v>51000</v>
      </c>
      <c r="J11">
        <v>52000</v>
      </c>
      <c r="K11">
        <v>50000</v>
      </c>
      <c r="R11">
        <f ca="1">DATEDIF(E11,TODAY(),"Y")</f>
        <v>30</v>
      </c>
      <c r="T11">
        <f t="shared" si="0"/>
        <v>2021</v>
      </c>
      <c r="U11">
        <f t="shared" si="1"/>
        <v>9</v>
      </c>
      <c r="W11">
        <f t="shared" si="2"/>
        <v>1996</v>
      </c>
      <c r="X11">
        <f t="shared" si="3"/>
        <v>1</v>
      </c>
      <c r="Y11">
        <f t="shared" si="4"/>
        <v>19</v>
      </c>
      <c r="AX11">
        <f t="shared" si="5"/>
        <v>202000</v>
      </c>
      <c r="BA11" t="str">
        <f t="shared" si="6"/>
        <v>NO</v>
      </c>
      <c r="BB11" t="str">
        <f t="shared" si="7"/>
        <v>NO</v>
      </c>
      <c r="BC11" t="str">
        <f t="shared" si="8"/>
        <v>NO</v>
      </c>
      <c r="BD11" t="str">
        <f t="shared" si="9"/>
        <v>PASS</v>
      </c>
      <c r="BE11" t="str">
        <f t="shared" si="10"/>
        <v>Not On Target</v>
      </c>
      <c r="BF11" t="str">
        <f t="shared" si="11"/>
        <v/>
      </c>
      <c r="BG11" t="str">
        <f t="shared" si="12"/>
        <v>BELOW AVERAGE</v>
      </c>
      <c r="BH11" t="str">
        <f t="shared" si="13"/>
        <v>NORMAL</v>
      </c>
      <c r="BI11" t="str">
        <f t="shared" si="14"/>
        <v/>
      </c>
      <c r="BJ11" t="str">
        <f t="shared" si="15"/>
        <v/>
      </c>
      <c r="BK11" t="str">
        <f ca="1">IF(DATEDIF(F11,TODAY(),"Y")&gt;2,"ELIGIBLE FOR PROMOTION","")</f>
        <v>ELIGIBLE FOR PROMOTION</v>
      </c>
      <c r="BL11" t="str">
        <f t="shared" si="16"/>
        <v>EXPERIENCED</v>
      </c>
      <c r="BM11" t="str">
        <f t="shared" si="17"/>
        <v>TARGET ACHIEVED</v>
      </c>
      <c r="BN11" t="str">
        <f t="shared" si="18"/>
        <v/>
      </c>
      <c r="BO11" t="str">
        <f t="shared" si="19"/>
        <v/>
      </c>
      <c r="BP11" t="str">
        <f t="shared" si="20"/>
        <v/>
      </c>
      <c r="BQ11" t="str">
        <f t="shared" si="21"/>
        <v/>
      </c>
      <c r="BR11" t="str">
        <f t="shared" si="22"/>
        <v>STAR PERFORMER</v>
      </c>
      <c r="BS11" t="str">
        <f t="shared" si="23"/>
        <v/>
      </c>
      <c r="BT11" t="str">
        <f t="shared" si="24"/>
        <v/>
      </c>
      <c r="BU11">
        <f>SUMIF(C2:C31,"MARKETING",G2:G31)</f>
        <v>313000</v>
      </c>
      <c r="BV11">
        <f>SUMIF(K2:K31,"&gt;52000",H2:H31)</f>
        <v>665000</v>
      </c>
      <c r="BW11">
        <f>SUMIF(C2:C31,"MARKETING",J2:J31)</f>
        <v>338000</v>
      </c>
      <c r="BX11">
        <f>SUMIF(D2:D31,"&gt;31-12-2021",H2:H31)</f>
        <v>271000</v>
      </c>
      <c r="BZ11">
        <v>10</v>
      </c>
      <c r="CA11" t="str">
        <f ca="1">_xlfn.FORMULATEXT(V2)</f>
        <v>=DAY(D2)</v>
      </c>
      <c r="CB11">
        <v>40</v>
      </c>
      <c r="CC11" t="str">
        <f ca="1">_xlfn.FORMULATEXT(AZ2)</f>
        <v>=AVERAGE(G2:J31)</v>
      </c>
      <c r="CD11">
        <v>70</v>
      </c>
      <c r="CE11" t="str">
        <f ca="1">_xlfn.FORMULATEXT(BU29)</f>
        <v>=AVERAGEIF(C2:C31,"IT",H2:H31)</v>
      </c>
      <c r="CF11">
        <v>100</v>
      </c>
      <c r="CG11" t="str">
        <f ca="1">_xlfn.FORMULATEXT(BX29)</f>
        <v>=AVERAGEIFS(G2:G31,D2:D31,"&gt;=01-01-2019",D2:D31,"&lt;=31-12-2019")</v>
      </c>
    </row>
    <row r="12" spans="1:85" x14ac:dyDescent="0.3">
      <c r="A12" t="s">
        <v>35</v>
      </c>
      <c r="B12" t="s">
        <v>36</v>
      </c>
      <c r="C12" t="s">
        <v>19</v>
      </c>
      <c r="D12" s="1">
        <v>44180</v>
      </c>
      <c r="E12" s="1">
        <v>33845</v>
      </c>
      <c r="F12" s="1">
        <v>44781</v>
      </c>
      <c r="G12">
        <v>52000</v>
      </c>
      <c r="H12">
        <v>53000</v>
      </c>
      <c r="I12">
        <v>54000</v>
      </c>
      <c r="J12">
        <v>55000</v>
      </c>
      <c r="K12">
        <v>53000</v>
      </c>
      <c r="R12">
        <f ca="1">DATEDIF(E12,TODAY(),"Y")</f>
        <v>33</v>
      </c>
      <c r="T12">
        <f t="shared" si="0"/>
        <v>2020</v>
      </c>
      <c r="U12">
        <f t="shared" si="1"/>
        <v>12</v>
      </c>
      <c r="W12">
        <f t="shared" si="2"/>
        <v>1992</v>
      </c>
      <c r="X12">
        <f t="shared" si="3"/>
        <v>8</v>
      </c>
      <c r="Y12">
        <f t="shared" si="4"/>
        <v>29</v>
      </c>
      <c r="AX12">
        <f t="shared" si="5"/>
        <v>214000</v>
      </c>
      <c r="BA12" t="str">
        <f t="shared" si="6"/>
        <v>NO</v>
      </c>
      <c r="BB12" t="str">
        <f t="shared" si="7"/>
        <v>YES</v>
      </c>
      <c r="BC12" t="str">
        <f t="shared" si="8"/>
        <v>YES</v>
      </c>
      <c r="BD12" t="str">
        <f t="shared" si="9"/>
        <v>PASS</v>
      </c>
      <c r="BE12" t="str">
        <f t="shared" si="10"/>
        <v>Not On Target</v>
      </c>
      <c r="BF12" t="str">
        <f t="shared" si="11"/>
        <v>ABOVE AVERAGE</v>
      </c>
      <c r="BG12" t="str">
        <f t="shared" si="12"/>
        <v/>
      </c>
      <c r="BH12" t="str">
        <f t="shared" si="13"/>
        <v>NORMAL</v>
      </c>
      <c r="BI12" t="str">
        <f t="shared" si="14"/>
        <v/>
      </c>
      <c r="BJ12" t="str">
        <f t="shared" si="15"/>
        <v/>
      </c>
      <c r="BK12" t="str">
        <f ca="1">IF(DATEDIF(F12,TODAY(),"Y")&gt;2,"ELIGIBLE FOR PROMOTION","")</f>
        <v>ELIGIBLE FOR PROMOTION</v>
      </c>
      <c r="BL12" t="str">
        <f t="shared" si="16"/>
        <v>EXPERIENCED</v>
      </c>
      <c r="BM12" t="str">
        <f t="shared" si="17"/>
        <v>TARGET ACHIEVED</v>
      </c>
      <c r="BN12" t="str">
        <f t="shared" si="18"/>
        <v/>
      </c>
      <c r="BO12" t="str">
        <f t="shared" si="19"/>
        <v/>
      </c>
      <c r="BP12" t="str">
        <f t="shared" si="20"/>
        <v/>
      </c>
      <c r="BQ12" t="str">
        <f t="shared" si="21"/>
        <v/>
      </c>
      <c r="BR12" t="str">
        <f t="shared" si="22"/>
        <v>STAR PERFORMER</v>
      </c>
      <c r="BS12" t="str">
        <f t="shared" si="23"/>
        <v/>
      </c>
      <c r="BT12" t="str">
        <f t="shared" si="24"/>
        <v/>
      </c>
      <c r="BZ12">
        <v>11</v>
      </c>
      <c r="CA12" t="str">
        <f ca="1">_xlfn.FORMULATEXT(W2)</f>
        <v>=YEAR(E2)</v>
      </c>
      <c r="CB12">
        <v>41</v>
      </c>
      <c r="CC12" t="str">
        <f ca="1">_xlfn.FORMULATEXT(BA2)</f>
        <v>=IF(G2&gt;K2,"YES","NO")</v>
      </c>
      <c r="CD12">
        <v>71</v>
      </c>
      <c r="CE12" t="str">
        <f ca="1">_xlfn.FORMULATEXT(BV2)</f>
        <v>=AVERAGEIF(C2:C31,"FINANCE",I2:I31)</v>
      </c>
    </row>
    <row r="13" spans="1:85" x14ac:dyDescent="0.3">
      <c r="A13" t="s">
        <v>37</v>
      </c>
      <c r="B13" t="s">
        <v>38</v>
      </c>
      <c r="C13" t="s">
        <v>22</v>
      </c>
      <c r="D13" s="1">
        <v>43742</v>
      </c>
      <c r="E13" s="1">
        <v>33372</v>
      </c>
      <c r="F13" s="1">
        <v>44542</v>
      </c>
      <c r="G13">
        <v>46000</v>
      </c>
      <c r="H13">
        <v>47000</v>
      </c>
      <c r="I13">
        <v>48000</v>
      </c>
      <c r="J13">
        <v>49000</v>
      </c>
      <c r="K13">
        <v>47000</v>
      </c>
      <c r="R13">
        <f ca="1">DATEDIF(E13,TODAY(),"Y")</f>
        <v>34</v>
      </c>
      <c r="T13">
        <f t="shared" si="0"/>
        <v>2019</v>
      </c>
      <c r="U13">
        <f t="shared" si="1"/>
        <v>10</v>
      </c>
      <c r="W13">
        <f t="shared" si="2"/>
        <v>1991</v>
      </c>
      <c r="X13">
        <f t="shared" si="3"/>
        <v>5</v>
      </c>
      <c r="Y13">
        <f t="shared" si="4"/>
        <v>14</v>
      </c>
      <c r="AX13">
        <f t="shared" si="5"/>
        <v>190000</v>
      </c>
      <c r="BA13" t="str">
        <f t="shared" si="6"/>
        <v>NO</v>
      </c>
      <c r="BB13" t="str">
        <f t="shared" si="7"/>
        <v>NO</v>
      </c>
      <c r="BC13" t="str">
        <f t="shared" si="8"/>
        <v>YES</v>
      </c>
      <c r="BD13" t="str">
        <f t="shared" si="9"/>
        <v>PASS</v>
      </c>
      <c r="BE13" t="str">
        <f t="shared" si="10"/>
        <v>Not On Target</v>
      </c>
      <c r="BF13" t="str">
        <f t="shared" si="11"/>
        <v/>
      </c>
      <c r="BG13" t="str">
        <f t="shared" si="12"/>
        <v>BELOW AVERAGE</v>
      </c>
      <c r="BH13" t="str">
        <f t="shared" si="13"/>
        <v>NORMAL</v>
      </c>
      <c r="BI13" t="str">
        <f t="shared" si="14"/>
        <v/>
      </c>
      <c r="BJ13" t="str">
        <f t="shared" si="15"/>
        <v>OLD EMPLOYEE</v>
      </c>
      <c r="BK13" t="str">
        <f ca="1">IF(DATEDIF(F13,TODAY(),"Y")&gt;2,"ELIGIBLE FOR PROMOTION","")</f>
        <v>ELIGIBLE FOR PROMOTION</v>
      </c>
      <c r="BL13" t="str">
        <f t="shared" si="16"/>
        <v>EXPERIENCED</v>
      </c>
      <c r="BM13" t="str">
        <f t="shared" si="17"/>
        <v>TARGET ACHIEVED</v>
      </c>
      <c r="BN13" t="str">
        <f t="shared" si="18"/>
        <v/>
      </c>
      <c r="BO13" t="str">
        <f t="shared" si="19"/>
        <v/>
      </c>
      <c r="BP13" t="str">
        <f t="shared" si="20"/>
        <v/>
      </c>
      <c r="BQ13" t="str">
        <f t="shared" si="21"/>
        <v>NEEDS TRAINING</v>
      </c>
      <c r="BR13" t="str">
        <f t="shared" si="22"/>
        <v>STAR PERFORMER</v>
      </c>
      <c r="BS13" t="str">
        <f t="shared" si="23"/>
        <v/>
      </c>
      <c r="BT13" t="str">
        <f t="shared" ref="BT3:BT31" si="25">IF(AND(G13&gt;=K13,H13&gt;=K13),"OK","")</f>
        <v/>
      </c>
      <c r="BU13" t="s">
        <v>139</v>
      </c>
      <c r="BV13" t="s">
        <v>149</v>
      </c>
      <c r="BW13" t="s">
        <v>159</v>
      </c>
      <c r="BX13" t="s">
        <v>169</v>
      </c>
      <c r="BZ13">
        <v>12</v>
      </c>
      <c r="CA13" t="str">
        <f ca="1">_xlfn.FORMULATEXT(X2)</f>
        <v>=MONTH(E2)</v>
      </c>
      <c r="CB13">
        <v>42</v>
      </c>
      <c r="CC13" t="str">
        <f ca="1">_xlfn.FORMULATEXT(BB2)</f>
        <v>=IF(OR(H2&gt;50000,I2&gt;55000),"YES","NO")</v>
      </c>
      <c r="CD13">
        <v>72</v>
      </c>
      <c r="CE13" t="str">
        <f ca="1">_xlfn.FORMULATEXT(BV5)</f>
        <v>=AVERAGEIF(C2:C31,"MARKETING",J2:J31)</v>
      </c>
    </row>
    <row r="14" spans="1:85" x14ac:dyDescent="0.3">
      <c r="A14" t="s">
        <v>39</v>
      </c>
      <c r="B14" t="s">
        <v>40</v>
      </c>
      <c r="C14" t="s">
        <v>16</v>
      </c>
      <c r="D14" s="1">
        <v>44583</v>
      </c>
      <c r="E14" s="1">
        <v>34755</v>
      </c>
      <c r="F14" s="1">
        <v>44975</v>
      </c>
      <c r="G14">
        <v>55000</v>
      </c>
      <c r="H14">
        <v>56000</v>
      </c>
      <c r="I14">
        <v>57000</v>
      </c>
      <c r="J14">
        <v>58000</v>
      </c>
      <c r="K14">
        <v>56000</v>
      </c>
      <c r="R14">
        <f ca="1">DATEDIF(E14,TODAY(),"Y")</f>
        <v>31</v>
      </c>
      <c r="T14">
        <f t="shared" si="0"/>
        <v>2022</v>
      </c>
      <c r="U14">
        <f t="shared" si="1"/>
        <v>1</v>
      </c>
      <c r="W14">
        <f t="shared" si="2"/>
        <v>1995</v>
      </c>
      <c r="X14">
        <f t="shared" si="3"/>
        <v>2</v>
      </c>
      <c r="Y14">
        <f t="shared" si="4"/>
        <v>25</v>
      </c>
      <c r="AX14">
        <f t="shared" si="5"/>
        <v>226000</v>
      </c>
      <c r="BA14" t="str">
        <f t="shared" si="6"/>
        <v>NO</v>
      </c>
      <c r="BB14" t="str">
        <f t="shared" si="7"/>
        <v>YES</v>
      </c>
      <c r="BC14" t="str">
        <f t="shared" si="8"/>
        <v>YES</v>
      </c>
      <c r="BD14" t="str">
        <f t="shared" si="9"/>
        <v>PASS</v>
      </c>
      <c r="BE14" t="str">
        <f t="shared" si="10"/>
        <v>Not On Target</v>
      </c>
      <c r="BF14" t="str">
        <f t="shared" si="11"/>
        <v>ABOVE AVERAGE</v>
      </c>
      <c r="BG14" t="str">
        <f t="shared" si="12"/>
        <v/>
      </c>
      <c r="BH14" t="str">
        <f t="shared" si="13"/>
        <v>NORMAL</v>
      </c>
      <c r="BI14" t="str">
        <f t="shared" si="14"/>
        <v>NEW JOINER</v>
      </c>
      <c r="BJ14" t="str">
        <f t="shared" si="15"/>
        <v/>
      </c>
      <c r="BK14" t="str">
        <f ca="1">IF(DATEDIF(F14,TODAY(),"Y")&gt;2,"ELIGIBLE FOR PROMOTION","")</f>
        <v>ELIGIBLE FOR PROMOTION</v>
      </c>
      <c r="BL14" t="str">
        <f t="shared" si="16"/>
        <v>EXPERIENCED</v>
      </c>
      <c r="BM14" t="str">
        <f t="shared" si="17"/>
        <v>TARGET ACHIEVED</v>
      </c>
      <c r="BN14" t="str">
        <f t="shared" si="18"/>
        <v>LOW Q3</v>
      </c>
      <c r="BO14" t="str">
        <f t="shared" si="19"/>
        <v>GOOD Q2</v>
      </c>
      <c r="BP14" t="str">
        <f t="shared" si="20"/>
        <v>BONUS</v>
      </c>
      <c r="BQ14" t="str">
        <f t="shared" si="21"/>
        <v/>
      </c>
      <c r="BR14" t="str">
        <f t="shared" si="22"/>
        <v>STAR PERFORMER</v>
      </c>
      <c r="BS14" t="str">
        <f t="shared" si="23"/>
        <v/>
      </c>
      <c r="BT14" t="str">
        <f t="shared" si="25"/>
        <v/>
      </c>
      <c r="BU14">
        <f>COUNTIF(G2:G31,"&gt;50000")</f>
        <v>13</v>
      </c>
      <c r="BV14">
        <f>SUMIF(K2:K31,"&gt;54000",I2:I31)</f>
        <v>402000</v>
      </c>
      <c r="BW14">
        <f>COUNTIFS(C2:C31,"HR",G2:G31,"&gt;48000")</f>
        <v>4</v>
      </c>
      <c r="BX14">
        <f>SUMIF(D2:D31,"&lt;01-01-2020",I2:I31)</f>
        <v>492000</v>
      </c>
      <c r="BZ14">
        <v>13</v>
      </c>
      <c r="CA14" t="str">
        <f ca="1">_xlfn.FORMULATEXT(Y2)</f>
        <v>=DAY(E2)</v>
      </c>
      <c r="CB14">
        <v>43</v>
      </c>
      <c r="CC14" t="str">
        <f ca="1">_xlfn.FORMULATEXT(BC2)</f>
        <v>=IF(NOT(C2="HR"),"YES","NO")</v>
      </c>
      <c r="CD14">
        <v>73</v>
      </c>
      <c r="CE14" t="str">
        <f ca="1">_xlfn.FORMULATEXT(BV8)</f>
        <v>=SUMIF(K2:K31,"&gt;50000",G2:G31)</v>
      </c>
    </row>
    <row r="15" spans="1:85" x14ac:dyDescent="0.3">
      <c r="A15" t="s">
        <v>41</v>
      </c>
      <c r="B15" t="s">
        <v>42</v>
      </c>
      <c r="C15" t="s">
        <v>13</v>
      </c>
      <c r="D15" s="1">
        <v>44051</v>
      </c>
      <c r="E15" s="1">
        <v>32719</v>
      </c>
      <c r="F15" s="1">
        <v>44839</v>
      </c>
      <c r="G15">
        <v>48000</v>
      </c>
      <c r="H15">
        <v>49000</v>
      </c>
      <c r="I15">
        <v>50000</v>
      </c>
      <c r="J15">
        <v>51000</v>
      </c>
      <c r="K15">
        <v>49000</v>
      </c>
      <c r="R15">
        <f ca="1">DATEDIF(E15,TODAY(),"Y")</f>
        <v>36</v>
      </c>
      <c r="T15">
        <f t="shared" si="0"/>
        <v>2020</v>
      </c>
      <c r="U15">
        <f t="shared" si="1"/>
        <v>8</v>
      </c>
      <c r="W15">
        <f t="shared" si="2"/>
        <v>1989</v>
      </c>
      <c r="X15">
        <f t="shared" si="3"/>
        <v>7</v>
      </c>
      <c r="Y15">
        <f t="shared" si="4"/>
        <v>30</v>
      </c>
      <c r="AX15">
        <f t="shared" si="5"/>
        <v>198000</v>
      </c>
      <c r="BA15" t="str">
        <f t="shared" si="6"/>
        <v>NO</v>
      </c>
      <c r="BB15" t="str">
        <f t="shared" si="7"/>
        <v>NO</v>
      </c>
      <c r="BC15" t="str">
        <f t="shared" si="8"/>
        <v>NO</v>
      </c>
      <c r="BD15" t="str">
        <f t="shared" si="9"/>
        <v>PASS</v>
      </c>
      <c r="BE15" t="str">
        <f t="shared" si="10"/>
        <v>Not On Target</v>
      </c>
      <c r="BF15" t="str">
        <f t="shared" si="11"/>
        <v/>
      </c>
      <c r="BG15" t="str">
        <f t="shared" si="12"/>
        <v>BELOW AVERAGE</v>
      </c>
      <c r="BH15" t="str">
        <f t="shared" si="13"/>
        <v>NORMAL</v>
      </c>
      <c r="BI15" t="str">
        <f t="shared" si="14"/>
        <v/>
      </c>
      <c r="BJ15" t="str">
        <f t="shared" si="15"/>
        <v/>
      </c>
      <c r="BK15" t="str">
        <f ca="1">IF(DATEDIF(F15,TODAY(),"Y")&gt;2,"ELIGIBLE FOR PROMOTION","")</f>
        <v>ELIGIBLE FOR PROMOTION</v>
      </c>
      <c r="BL15" t="str">
        <f t="shared" si="16"/>
        <v>EXPERIENCED</v>
      </c>
      <c r="BM15" t="str">
        <f t="shared" si="17"/>
        <v>TARGET ACHIEVED</v>
      </c>
      <c r="BN15" t="str">
        <f t="shared" si="18"/>
        <v/>
      </c>
      <c r="BO15" t="str">
        <f t="shared" si="19"/>
        <v/>
      </c>
      <c r="BP15" t="str">
        <f t="shared" si="20"/>
        <v/>
      </c>
      <c r="BQ15" t="str">
        <f t="shared" si="21"/>
        <v/>
      </c>
      <c r="BR15" t="str">
        <f t="shared" si="22"/>
        <v>STAR PERFORMER</v>
      </c>
      <c r="BS15" t="str">
        <f t="shared" si="23"/>
        <v/>
      </c>
      <c r="BT15" t="str">
        <f t="shared" si="25"/>
        <v/>
      </c>
      <c r="BZ15">
        <v>14</v>
      </c>
      <c r="CA15" t="str">
        <f ca="1">_xlfn.FORMULATEXT(Z2)</f>
        <v>=DATEDIF(F2,TODAY(),"Y")</v>
      </c>
      <c r="CB15">
        <v>44</v>
      </c>
      <c r="CC15" t="str">
        <f ca="1">_xlfn.FORMULATEXT(BD2)</f>
        <v>=IF(J2&gt;K2,"PASS","FAIL")</v>
      </c>
      <c r="CD15">
        <v>74</v>
      </c>
      <c r="CE15" t="str">
        <f ca="1">_xlfn.FORMULATEXT(BV11)</f>
        <v>=SUMIF(K2:K31,"&gt;52000",H2:H31)</v>
      </c>
    </row>
    <row r="16" spans="1:85" x14ac:dyDescent="0.3">
      <c r="A16" t="s">
        <v>43</v>
      </c>
      <c r="B16" t="s">
        <v>44</v>
      </c>
      <c r="C16" t="s">
        <v>19</v>
      </c>
      <c r="D16" s="1">
        <v>43208</v>
      </c>
      <c r="E16" s="1">
        <v>34285</v>
      </c>
      <c r="F16" s="1">
        <v>44335</v>
      </c>
      <c r="G16">
        <v>43000</v>
      </c>
      <c r="H16">
        <v>44000</v>
      </c>
      <c r="I16">
        <v>45000</v>
      </c>
      <c r="J16">
        <v>46000</v>
      </c>
      <c r="K16">
        <v>45000</v>
      </c>
      <c r="R16">
        <f ca="1">DATEDIF(E16,TODAY(),"Y")</f>
        <v>32</v>
      </c>
      <c r="T16">
        <f t="shared" si="0"/>
        <v>2018</v>
      </c>
      <c r="U16">
        <f t="shared" si="1"/>
        <v>4</v>
      </c>
      <c r="W16">
        <f t="shared" si="2"/>
        <v>1993</v>
      </c>
      <c r="X16">
        <f t="shared" si="3"/>
        <v>11</v>
      </c>
      <c r="Y16">
        <f t="shared" si="4"/>
        <v>12</v>
      </c>
      <c r="AX16">
        <f t="shared" si="5"/>
        <v>178000</v>
      </c>
      <c r="BA16" t="str">
        <f t="shared" si="6"/>
        <v>NO</v>
      </c>
      <c r="BB16" t="str">
        <f t="shared" si="7"/>
        <v>NO</v>
      </c>
      <c r="BC16" t="str">
        <f t="shared" si="8"/>
        <v>YES</v>
      </c>
      <c r="BD16" t="str">
        <f>IF(J16&gt;K16,"PASS","FAIL")</f>
        <v>PASS</v>
      </c>
      <c r="BE16" t="str">
        <f t="shared" si="10"/>
        <v>Not On Target</v>
      </c>
      <c r="BF16" t="str">
        <f t="shared" si="11"/>
        <v/>
      </c>
      <c r="BG16" t="str">
        <f t="shared" si="12"/>
        <v>BELOW AVERAGE</v>
      </c>
      <c r="BH16" t="str">
        <f>IF(SUM(G16:J16)&gt;2000000,"HIGH PERFORMER","NORMAL")</f>
        <v>NORMAL</v>
      </c>
      <c r="BI16" t="str">
        <f t="shared" si="14"/>
        <v/>
      </c>
      <c r="BJ16" t="str">
        <f t="shared" si="15"/>
        <v>OLD EMPLOYEE</v>
      </c>
      <c r="BK16" t="str">
        <f ca="1">IF(DATEDIF(F16,TODAY(),"Y")&gt;2,"ELIGIBLE FOR PROMOTION","")</f>
        <v>ELIGIBLE FOR PROMOTION</v>
      </c>
      <c r="BL16" t="str">
        <f t="shared" si="16"/>
        <v>EXPERIENCED</v>
      </c>
      <c r="BM16" t="str">
        <f t="shared" si="17"/>
        <v>NOT ACHIEVED</v>
      </c>
      <c r="BN16" t="str">
        <f t="shared" si="18"/>
        <v/>
      </c>
      <c r="BO16" t="str">
        <f t="shared" si="19"/>
        <v/>
      </c>
      <c r="BP16" t="str">
        <f t="shared" si="20"/>
        <v/>
      </c>
      <c r="BQ16" t="str">
        <f t="shared" si="21"/>
        <v>NEEDS TRAINING</v>
      </c>
      <c r="BR16" t="str">
        <f t="shared" si="22"/>
        <v>STAR PERFORMER</v>
      </c>
      <c r="BS16" t="str">
        <f t="shared" si="23"/>
        <v>CHECK</v>
      </c>
      <c r="BT16" t="str">
        <f t="shared" si="25"/>
        <v/>
      </c>
      <c r="BU16" t="s">
        <v>140</v>
      </c>
      <c r="BV16" t="s">
        <v>150</v>
      </c>
      <c r="BW16" t="s">
        <v>160</v>
      </c>
      <c r="BX16" t="s">
        <v>170</v>
      </c>
      <c r="BZ16">
        <v>15</v>
      </c>
      <c r="CA16" t="str">
        <f ca="1">_xlfn.FORMULATEXT(AA2)</f>
        <v>=DATEDIF(F2,TODAY(),"M")</v>
      </c>
      <c r="CB16">
        <v>45</v>
      </c>
      <c r="CC16" t="str">
        <f ca="1">_xlfn.FORMULATEXT(BE2)</f>
        <v>=IF(AND(G2&gt;=K2,H2&gt;=K2,I2&gt;=K2,J2&gt;=K2),"On Target","Not On Target")</v>
      </c>
      <c r="CD16">
        <v>75</v>
      </c>
      <c r="CE16" t="str">
        <f ca="1">_xlfn.FORMULATEXT(BV14)</f>
        <v>=SUMIF(K2:K31,"&gt;54000",I2:I31)</v>
      </c>
    </row>
    <row r="17" spans="1:83" x14ac:dyDescent="0.3">
      <c r="A17" t="s">
        <v>45</v>
      </c>
      <c r="B17" t="s">
        <v>46</v>
      </c>
      <c r="C17" t="s">
        <v>22</v>
      </c>
      <c r="D17" s="1">
        <v>44265</v>
      </c>
      <c r="E17" s="1">
        <v>32905</v>
      </c>
      <c r="F17" s="1">
        <v>44733</v>
      </c>
      <c r="G17">
        <v>47000</v>
      </c>
      <c r="H17">
        <v>48000</v>
      </c>
      <c r="I17">
        <v>49000</v>
      </c>
      <c r="J17">
        <v>50000</v>
      </c>
      <c r="K17">
        <v>48000</v>
      </c>
      <c r="R17">
        <f ca="1">DATEDIF(E17,TODAY(),"Y")</f>
        <v>36</v>
      </c>
      <c r="T17">
        <f t="shared" si="0"/>
        <v>2021</v>
      </c>
      <c r="U17">
        <f t="shared" si="1"/>
        <v>3</v>
      </c>
      <c r="W17">
        <f t="shared" si="2"/>
        <v>1990</v>
      </c>
      <c r="X17">
        <f t="shared" si="3"/>
        <v>2</v>
      </c>
      <c r="Y17">
        <f t="shared" si="4"/>
        <v>1</v>
      </c>
      <c r="AX17">
        <f t="shared" si="5"/>
        <v>194000</v>
      </c>
      <c r="BA17" t="str">
        <f>IF(G17&gt;K17,"YES","NO")</f>
        <v>NO</v>
      </c>
      <c r="BB17" t="str">
        <f t="shared" si="7"/>
        <v>NO</v>
      </c>
      <c r="BC17" t="str">
        <f t="shared" si="8"/>
        <v>YES</v>
      </c>
      <c r="BD17" t="str">
        <f t="shared" si="9"/>
        <v>PASS</v>
      </c>
      <c r="BE17" t="str">
        <f t="shared" si="10"/>
        <v>Not On Target</v>
      </c>
      <c r="BF17" t="str">
        <f t="shared" si="11"/>
        <v/>
      </c>
      <c r="BG17" t="str">
        <f t="shared" si="12"/>
        <v>BELOW AVERAGE</v>
      </c>
      <c r="BH17" t="str">
        <f t="shared" si="13"/>
        <v>NORMAL</v>
      </c>
      <c r="BI17" t="str">
        <f t="shared" si="14"/>
        <v/>
      </c>
      <c r="BJ17" t="str">
        <f t="shared" si="15"/>
        <v/>
      </c>
      <c r="BK17" t="str">
        <f ca="1">IF(DATEDIF(F17,TODAY(),"Y")&gt;2,"ELIGIBLE FOR PROMOTION","")</f>
        <v>ELIGIBLE FOR PROMOTION</v>
      </c>
      <c r="BL17" t="str">
        <f t="shared" si="16"/>
        <v>EXPERIENCED</v>
      </c>
      <c r="BM17" t="str">
        <f t="shared" si="17"/>
        <v>TARGET ACHIEVED</v>
      </c>
      <c r="BN17" t="str">
        <f t="shared" si="18"/>
        <v>LOW Q3</v>
      </c>
      <c r="BO17" t="str">
        <f t="shared" si="19"/>
        <v/>
      </c>
      <c r="BP17" t="str">
        <f t="shared" si="20"/>
        <v/>
      </c>
      <c r="BQ17" t="str">
        <f t="shared" si="21"/>
        <v>NEEDS TRAINING</v>
      </c>
      <c r="BR17" t="str">
        <f t="shared" si="22"/>
        <v>STAR PERFORMER</v>
      </c>
      <c r="BS17" t="str">
        <f t="shared" si="23"/>
        <v/>
      </c>
      <c r="BT17" t="str">
        <f t="shared" si="25"/>
        <v/>
      </c>
      <c r="BU17">
        <f>COUNTIF(H2:H31,"&gt;55000")</f>
        <v>5</v>
      </c>
      <c r="BV17">
        <f>SUMIF(K2:K31,"&gt;55000",J2:J31)</f>
        <v>239000</v>
      </c>
      <c r="BW17">
        <f>COUNTIFS(C2:C31,"IT",H2:H31,"&gt;53000")</f>
        <v>5</v>
      </c>
      <c r="BX17">
        <f>SUMIF(D2:D31,"&lt;01-01-2021",J2:J31)</f>
        <v>872000</v>
      </c>
      <c r="BZ17">
        <v>16</v>
      </c>
      <c r="CA17" t="str">
        <f ca="1">_xlfn.FORMULATEXT(AB2)</f>
        <v>=DATEDIF(F2,TODAY(),"D")</v>
      </c>
      <c r="CB17">
        <v>46</v>
      </c>
      <c r="CC17" t="str">
        <f ca="1">_xlfn.FORMULATEXT(BF2)</f>
        <v>=IF(G2&gt;AVERAGE(G2:G31),"ABOVE AVERAGE","")</v>
      </c>
      <c r="CD17">
        <v>76</v>
      </c>
      <c r="CE17" t="str">
        <f ca="1">_xlfn.FORMULATEXT(BV17)</f>
        <v>=SUMIF(K2:K31,"&gt;55000",J2:J31)</v>
      </c>
    </row>
    <row r="18" spans="1:83" x14ac:dyDescent="0.3">
      <c r="A18" t="s">
        <v>47</v>
      </c>
      <c r="B18" t="s">
        <v>48</v>
      </c>
      <c r="C18" t="s">
        <v>16</v>
      </c>
      <c r="D18" s="1">
        <v>43653</v>
      </c>
      <c r="E18" s="1">
        <v>34600</v>
      </c>
      <c r="F18" s="1">
        <v>44454</v>
      </c>
      <c r="G18">
        <v>52000</v>
      </c>
      <c r="H18">
        <v>53000</v>
      </c>
      <c r="I18">
        <v>54000</v>
      </c>
      <c r="J18">
        <v>55000</v>
      </c>
      <c r="K18">
        <v>53000</v>
      </c>
      <c r="R18">
        <f ca="1">DATEDIF(E18,TODAY(),"Y")</f>
        <v>31</v>
      </c>
      <c r="T18">
        <f t="shared" si="0"/>
        <v>2019</v>
      </c>
      <c r="U18">
        <f t="shared" si="1"/>
        <v>7</v>
      </c>
      <c r="W18">
        <f t="shared" si="2"/>
        <v>1994</v>
      </c>
      <c r="X18">
        <f t="shared" si="3"/>
        <v>9</v>
      </c>
      <c r="Y18">
        <f t="shared" si="4"/>
        <v>23</v>
      </c>
      <c r="AX18">
        <f t="shared" si="5"/>
        <v>214000</v>
      </c>
      <c r="BA18" t="str">
        <f t="shared" si="6"/>
        <v>NO</v>
      </c>
      <c r="BB18" t="str">
        <f t="shared" si="7"/>
        <v>YES</v>
      </c>
      <c r="BC18" t="str">
        <f t="shared" si="8"/>
        <v>YES</v>
      </c>
      <c r="BD18" t="str">
        <f t="shared" si="9"/>
        <v>PASS</v>
      </c>
      <c r="BE18" t="str">
        <f>IF(AND(G18&gt;=K18,H18&gt;=K18,I18&gt;=K18,J18&gt;=K18),"On Target","Not On Target")</f>
        <v>Not On Target</v>
      </c>
      <c r="BF18" t="str">
        <f t="shared" si="11"/>
        <v>ABOVE AVERAGE</v>
      </c>
      <c r="BG18" t="str">
        <f t="shared" si="12"/>
        <v/>
      </c>
      <c r="BH18" t="str">
        <f t="shared" si="13"/>
        <v>NORMAL</v>
      </c>
      <c r="BI18" t="str">
        <f t="shared" si="14"/>
        <v/>
      </c>
      <c r="BJ18" t="str">
        <f>IF(YEAR(D18)&lt;2020,"OLD EMPLOYEE","")</f>
        <v>OLD EMPLOYEE</v>
      </c>
      <c r="BK18" t="str">
        <f ca="1">IF(DATEDIF(F18,TODAY(),"Y")&gt;2,"ELIGIBLE FOR PROMOTION","")</f>
        <v>ELIGIBLE FOR PROMOTION</v>
      </c>
      <c r="BL18" t="str">
        <f t="shared" si="16"/>
        <v>EXPERIENCED</v>
      </c>
      <c r="BM18" t="str">
        <f t="shared" si="17"/>
        <v>TARGET ACHIEVED</v>
      </c>
      <c r="BN18" t="str">
        <f t="shared" si="18"/>
        <v>LOW Q3</v>
      </c>
      <c r="BO18" t="str">
        <f t="shared" si="19"/>
        <v/>
      </c>
      <c r="BP18" t="str">
        <f t="shared" si="20"/>
        <v/>
      </c>
      <c r="BQ18" t="str">
        <f t="shared" si="21"/>
        <v/>
      </c>
      <c r="BR18" t="str">
        <f t="shared" si="22"/>
        <v>STAR PERFORMER</v>
      </c>
      <c r="BS18" t="str">
        <f t="shared" si="23"/>
        <v/>
      </c>
      <c r="BT18" t="str">
        <f t="shared" si="25"/>
        <v/>
      </c>
      <c r="BZ18">
        <v>17</v>
      </c>
      <c r="CA18" t="str">
        <f ca="1">_xlfn.FORMULATEXT(AC2)</f>
        <v>=YEAR(TODAY())</v>
      </c>
      <c r="CB18">
        <v>47</v>
      </c>
      <c r="CC18" t="str">
        <f ca="1">_xlfn.FORMULATEXT(BG2)</f>
        <v>=IF(H2&lt;AVERAGE(H2:H31),"BELOW AVERAGE","")</v>
      </c>
      <c r="CD18">
        <v>77</v>
      </c>
      <c r="CE18" t="str">
        <f ca="1">_xlfn.FORMULATEXT(BV20)</f>
        <v>=AVERAGEIF(K2:K31,"&gt;50000",G2:G31)</v>
      </c>
    </row>
    <row r="19" spans="1:83" x14ac:dyDescent="0.3">
      <c r="A19" t="s">
        <v>49</v>
      </c>
      <c r="B19" t="s">
        <v>50</v>
      </c>
      <c r="C19" t="s">
        <v>13</v>
      </c>
      <c r="D19" s="1">
        <v>44603</v>
      </c>
      <c r="E19" s="1">
        <v>33516</v>
      </c>
      <c r="F19" s="1">
        <v>45036</v>
      </c>
      <c r="G19">
        <v>50000</v>
      </c>
      <c r="H19">
        <v>51000</v>
      </c>
      <c r="I19">
        <v>52000</v>
      </c>
      <c r="J19">
        <v>53000</v>
      </c>
      <c r="K19">
        <v>51000</v>
      </c>
      <c r="R19">
        <f ca="1">DATEDIF(E19,TODAY(),"Y")</f>
        <v>34</v>
      </c>
      <c r="T19">
        <f t="shared" si="0"/>
        <v>2022</v>
      </c>
      <c r="U19">
        <f t="shared" si="1"/>
        <v>2</v>
      </c>
      <c r="W19">
        <f t="shared" si="2"/>
        <v>1991</v>
      </c>
      <c r="X19">
        <f t="shared" si="3"/>
        <v>10</v>
      </c>
      <c r="Y19">
        <f t="shared" si="4"/>
        <v>5</v>
      </c>
      <c r="AX19">
        <f t="shared" si="5"/>
        <v>206000</v>
      </c>
      <c r="BA19" t="str">
        <f t="shared" si="6"/>
        <v>NO</v>
      </c>
      <c r="BB19" t="str">
        <f t="shared" si="7"/>
        <v>YES</v>
      </c>
      <c r="BC19" t="str">
        <f t="shared" si="8"/>
        <v>NO</v>
      </c>
      <c r="BD19" t="str">
        <f t="shared" si="9"/>
        <v>PASS</v>
      </c>
      <c r="BE19" t="str">
        <f t="shared" si="10"/>
        <v>Not On Target</v>
      </c>
      <c r="BF19" t="str">
        <f t="shared" si="11"/>
        <v/>
      </c>
      <c r="BG19" t="str">
        <f t="shared" si="12"/>
        <v>BELOW AVERAGE</v>
      </c>
      <c r="BH19" t="str">
        <f t="shared" si="13"/>
        <v>NORMAL</v>
      </c>
      <c r="BI19" t="str">
        <f t="shared" si="14"/>
        <v>NEW JOINER</v>
      </c>
      <c r="BJ19" t="str">
        <f t="shared" si="15"/>
        <v/>
      </c>
      <c r="BK19" t="str">
        <f ca="1">IF(DATEDIF(F19,TODAY(),"Y")&gt;2,"ELIGIBLE FOR PROMOTION","")</f>
        <v/>
      </c>
      <c r="BL19" t="str">
        <f>IF(E19&lt;30,"YOUNG","EXPERIENCED")</f>
        <v>EXPERIENCED</v>
      </c>
      <c r="BM19" t="str">
        <f t="shared" si="17"/>
        <v>TARGET ACHIEVED</v>
      </c>
      <c r="BN19" t="str">
        <f t="shared" si="18"/>
        <v/>
      </c>
      <c r="BO19" t="str">
        <f t="shared" si="19"/>
        <v/>
      </c>
      <c r="BP19" t="str">
        <f t="shared" si="20"/>
        <v/>
      </c>
      <c r="BQ19" t="str">
        <f t="shared" si="21"/>
        <v/>
      </c>
      <c r="BR19" t="str">
        <f t="shared" si="22"/>
        <v>STAR PERFORMER</v>
      </c>
      <c r="BS19" t="str">
        <f t="shared" si="23"/>
        <v/>
      </c>
      <c r="BT19" t="str">
        <f t="shared" si="25"/>
        <v/>
      </c>
      <c r="BU19" t="s">
        <v>141</v>
      </c>
      <c r="BV19" t="s">
        <v>151</v>
      </c>
      <c r="BW19" t="s">
        <v>161</v>
      </c>
      <c r="BX19" t="s">
        <v>171</v>
      </c>
      <c r="BZ19">
        <v>18</v>
      </c>
      <c r="CA19" t="str">
        <f ca="1">_xlfn.FORMULATEXT(AD2)</f>
        <v>=MONTH(TODAY())</v>
      </c>
      <c r="CB19">
        <v>48</v>
      </c>
      <c r="CC19" t="str">
        <f ca="1">_xlfn.FORMULATEXT(BH2)</f>
        <v>=IF(SUM(G2:J2)&gt;2000000,"HIGH PERFORMER","NORMAL")</v>
      </c>
      <c r="CD19">
        <v>78</v>
      </c>
      <c r="CE19" t="str">
        <f ca="1">_xlfn.FORMULATEXT(BV23)</f>
        <v>=AVERAGEIF(K2:K31,"&gt;52000",H2:H31)</v>
      </c>
    </row>
    <row r="20" spans="1:83" x14ac:dyDescent="0.3">
      <c r="A20" t="s">
        <v>51</v>
      </c>
      <c r="B20" t="s">
        <v>52</v>
      </c>
      <c r="C20" t="s">
        <v>19</v>
      </c>
      <c r="D20" s="1">
        <v>44007</v>
      </c>
      <c r="E20" s="1">
        <v>33710</v>
      </c>
      <c r="F20" s="1">
        <v>44759</v>
      </c>
      <c r="G20">
        <v>54000</v>
      </c>
      <c r="H20">
        <v>55000</v>
      </c>
      <c r="I20">
        <v>56000</v>
      </c>
      <c r="J20">
        <v>57000</v>
      </c>
      <c r="K20">
        <v>55000</v>
      </c>
      <c r="R20">
        <f ca="1">DATEDIF(E20,TODAY(),"Y")</f>
        <v>33</v>
      </c>
      <c r="T20">
        <f t="shared" si="0"/>
        <v>2020</v>
      </c>
      <c r="U20">
        <f t="shared" si="1"/>
        <v>6</v>
      </c>
      <c r="W20">
        <f t="shared" si="2"/>
        <v>1992</v>
      </c>
      <c r="X20">
        <f t="shared" si="3"/>
        <v>4</v>
      </c>
      <c r="Y20">
        <f t="shared" si="4"/>
        <v>16</v>
      </c>
      <c r="AX20">
        <f t="shared" si="5"/>
        <v>222000</v>
      </c>
      <c r="BA20" t="str">
        <f t="shared" si="6"/>
        <v>NO</v>
      </c>
      <c r="BB20" t="str">
        <f t="shared" si="7"/>
        <v>YES</v>
      </c>
      <c r="BC20" t="str">
        <f t="shared" si="8"/>
        <v>YES</v>
      </c>
      <c r="BD20" t="str">
        <f t="shared" si="9"/>
        <v>PASS</v>
      </c>
      <c r="BE20" t="str">
        <f t="shared" si="10"/>
        <v>Not On Target</v>
      </c>
      <c r="BF20" t="str">
        <f t="shared" si="11"/>
        <v>ABOVE AVERAGE</v>
      </c>
      <c r="BG20" t="str">
        <f t="shared" si="12"/>
        <v/>
      </c>
      <c r="BH20" t="str">
        <f t="shared" si="13"/>
        <v>NORMAL</v>
      </c>
      <c r="BI20" t="str">
        <f t="shared" si="14"/>
        <v/>
      </c>
      <c r="BJ20" t="str">
        <f t="shared" si="15"/>
        <v/>
      </c>
      <c r="BK20" t="str">
        <f ca="1">IF(DATEDIF(F20,TODAY(),"Y")&gt;2,"ELIGIBLE FOR PROMOTION","")</f>
        <v>ELIGIBLE FOR PROMOTION</v>
      </c>
      <c r="BL20" t="str">
        <f t="shared" si="16"/>
        <v>EXPERIENCED</v>
      </c>
      <c r="BM20" t="str">
        <f t="shared" si="17"/>
        <v>TARGET ACHIEVED</v>
      </c>
      <c r="BN20" t="str">
        <f t="shared" si="18"/>
        <v/>
      </c>
      <c r="BO20" t="str">
        <f t="shared" si="19"/>
        <v/>
      </c>
      <c r="BP20" t="str">
        <f t="shared" si="20"/>
        <v/>
      </c>
      <c r="BQ20" t="str">
        <f t="shared" si="21"/>
        <v/>
      </c>
      <c r="BR20" t="str">
        <f>IF(AX20&gt;55000,"STAR PERFORMER","")</f>
        <v>STAR PERFORMER</v>
      </c>
      <c r="BS20" t="str">
        <f t="shared" si="23"/>
        <v/>
      </c>
      <c r="BT20" t="str">
        <f t="shared" si="25"/>
        <v/>
      </c>
      <c r="BU20">
        <f>COUNTIFS(C2:C31,"FINANCE",I2:I31,"&gt;55000")</f>
        <v>3</v>
      </c>
      <c r="BV20">
        <f>AVERAGEIF(K2:K31,"&gt;50000",G2:G31)</f>
        <v>53533.333333333336</v>
      </c>
      <c r="BW20">
        <f>COUNTIFS(C2:C31,"IT",I2:I31,"&gt;55000")</f>
        <v>4</v>
      </c>
      <c r="BX20">
        <f>AVERAGEIFS(G2:G31,D2:D31,"&gt;=01-01-2022",D2:D31,"&lt;=31-12-2022")</f>
        <v>53000</v>
      </c>
      <c r="BZ20">
        <v>19</v>
      </c>
      <c r="CA20" t="str">
        <f ca="1">_xlfn.FORMULATEXT(AE2)</f>
        <v>=DAY(TODAY())</v>
      </c>
      <c r="CB20">
        <v>49</v>
      </c>
      <c r="CC20" t="str">
        <f ca="1">_xlfn.FORMULATEXT(BI2)</f>
        <v>=IF(YEAR(D2)=2022,"NEW JOINER","")</v>
      </c>
      <c r="CD20">
        <v>79</v>
      </c>
      <c r="CE20" t="str">
        <f ca="1">_xlfn.FORMULATEXT(BV26)</f>
        <v>=AVERAGEIF(K2:K31,"&gt;54000",I2:I31)</v>
      </c>
    </row>
    <row r="21" spans="1:83" x14ac:dyDescent="0.3">
      <c r="A21" t="s">
        <v>53</v>
      </c>
      <c r="B21" t="s">
        <v>54</v>
      </c>
      <c r="C21" t="s">
        <v>22</v>
      </c>
      <c r="D21" s="1">
        <v>43234</v>
      </c>
      <c r="E21" s="1">
        <v>35037</v>
      </c>
      <c r="F21" s="1">
        <v>44508</v>
      </c>
      <c r="G21">
        <v>46000</v>
      </c>
      <c r="H21">
        <v>47000</v>
      </c>
      <c r="I21">
        <v>48000</v>
      </c>
      <c r="J21">
        <v>49000</v>
      </c>
      <c r="K21">
        <v>47000</v>
      </c>
      <c r="R21">
        <f ca="1">DATEDIF(E21,TODAY(),"Y")</f>
        <v>30</v>
      </c>
      <c r="T21">
        <f t="shared" si="0"/>
        <v>2018</v>
      </c>
      <c r="U21">
        <f t="shared" si="1"/>
        <v>5</v>
      </c>
      <c r="W21">
        <f t="shared" si="2"/>
        <v>1995</v>
      </c>
      <c r="X21">
        <f t="shared" si="3"/>
        <v>12</v>
      </c>
      <c r="Y21">
        <f t="shared" si="4"/>
        <v>4</v>
      </c>
      <c r="AX21">
        <f>SUM(G21:J21)</f>
        <v>190000</v>
      </c>
      <c r="BA21" t="str">
        <f t="shared" si="6"/>
        <v>NO</v>
      </c>
      <c r="BB21" t="str">
        <f t="shared" si="7"/>
        <v>NO</v>
      </c>
      <c r="BC21" t="str">
        <f t="shared" si="8"/>
        <v>YES</v>
      </c>
      <c r="BD21" t="str">
        <f t="shared" si="9"/>
        <v>PASS</v>
      </c>
      <c r="BE21" t="str">
        <f t="shared" si="10"/>
        <v>Not On Target</v>
      </c>
      <c r="BF21" t="str">
        <f t="shared" si="11"/>
        <v/>
      </c>
      <c r="BG21" t="str">
        <f t="shared" si="12"/>
        <v>BELOW AVERAGE</v>
      </c>
      <c r="BH21" t="str">
        <f t="shared" si="13"/>
        <v>NORMAL</v>
      </c>
      <c r="BI21" t="str">
        <f t="shared" si="14"/>
        <v/>
      </c>
      <c r="BJ21" t="str">
        <f t="shared" si="15"/>
        <v>OLD EMPLOYEE</v>
      </c>
      <c r="BK21" t="str">
        <f ca="1">IF(DATEDIF(F21,TODAY(),"Y")&gt;2,"ELIGIBLE FOR PROMOTION","")</f>
        <v>ELIGIBLE FOR PROMOTION</v>
      </c>
      <c r="BL21" t="str">
        <f t="shared" si="16"/>
        <v>EXPERIENCED</v>
      </c>
      <c r="BM21" t="str">
        <f t="shared" si="17"/>
        <v>TARGET ACHIEVED</v>
      </c>
      <c r="BN21" t="str">
        <f t="shared" si="18"/>
        <v/>
      </c>
      <c r="BO21" t="str">
        <f t="shared" si="19"/>
        <v/>
      </c>
      <c r="BP21" t="str">
        <f t="shared" si="20"/>
        <v/>
      </c>
      <c r="BQ21" t="str">
        <f t="shared" si="21"/>
        <v>NEEDS TRAINING</v>
      </c>
      <c r="BR21" t="str">
        <f t="shared" si="22"/>
        <v>STAR PERFORMER</v>
      </c>
      <c r="BS21" t="str">
        <f t="shared" si="23"/>
        <v/>
      </c>
      <c r="BT21" t="str">
        <f t="shared" si="25"/>
        <v/>
      </c>
      <c r="BZ21">
        <v>20</v>
      </c>
      <c r="CA21" t="str">
        <f ca="1">_xlfn.FORMULATEXT(AF2)</f>
        <v>=NOW()</v>
      </c>
      <c r="CB21">
        <v>50</v>
      </c>
      <c r="CC21" t="str">
        <f ca="1">_xlfn.FORMULATEXT(BJ2)</f>
        <v>=IF(YEAR(D2)&lt;2020,"OLD EMPLOYEE","")</v>
      </c>
      <c r="CD21">
        <v>80</v>
      </c>
      <c r="CE21" t="str">
        <f ca="1">_xlfn.FORMULATEXT(BV29)</f>
        <v>=AVERAGEIF(K2:K31,"&gt;55000",J2:J31)</v>
      </c>
    </row>
    <row r="22" spans="1:83" x14ac:dyDescent="0.3">
      <c r="A22" t="s">
        <v>55</v>
      </c>
      <c r="B22" t="s">
        <v>56</v>
      </c>
      <c r="C22" t="s">
        <v>16</v>
      </c>
      <c r="D22" s="1">
        <v>44430</v>
      </c>
      <c r="E22" s="1">
        <v>32947</v>
      </c>
      <c r="F22" s="1">
        <v>44955</v>
      </c>
      <c r="G22">
        <v>55000</v>
      </c>
      <c r="H22">
        <v>56000</v>
      </c>
      <c r="I22">
        <v>57000</v>
      </c>
      <c r="J22">
        <v>58000</v>
      </c>
      <c r="K22">
        <v>56000</v>
      </c>
      <c r="R22">
        <f ca="1">DATEDIF(E22,TODAY(),"Y")</f>
        <v>35</v>
      </c>
      <c r="T22">
        <f t="shared" si="0"/>
        <v>2021</v>
      </c>
      <c r="U22">
        <f t="shared" si="1"/>
        <v>8</v>
      </c>
      <c r="W22">
        <f t="shared" si="2"/>
        <v>1990</v>
      </c>
      <c r="X22">
        <f t="shared" si="3"/>
        <v>3</v>
      </c>
      <c r="Y22">
        <f t="shared" si="4"/>
        <v>15</v>
      </c>
      <c r="AX22">
        <f t="shared" si="5"/>
        <v>226000</v>
      </c>
      <c r="BA22" t="str">
        <f t="shared" si="6"/>
        <v>NO</v>
      </c>
      <c r="BB22" t="str">
        <f t="shared" si="7"/>
        <v>YES</v>
      </c>
      <c r="BC22" t="str">
        <f t="shared" si="8"/>
        <v>YES</v>
      </c>
      <c r="BD22" t="str">
        <f t="shared" si="9"/>
        <v>PASS</v>
      </c>
      <c r="BE22" t="str">
        <f t="shared" si="10"/>
        <v>Not On Target</v>
      </c>
      <c r="BF22" t="str">
        <f t="shared" si="11"/>
        <v>ABOVE AVERAGE</v>
      </c>
      <c r="BG22" t="str">
        <f t="shared" si="12"/>
        <v/>
      </c>
      <c r="BH22" t="str">
        <f t="shared" si="13"/>
        <v>NORMAL</v>
      </c>
      <c r="BI22" t="str">
        <f t="shared" si="14"/>
        <v/>
      </c>
      <c r="BJ22" t="str">
        <f t="shared" si="15"/>
        <v/>
      </c>
      <c r="BK22" t="str">
        <f ca="1">IF(DATEDIF(F22,TODAY(),"Y")&gt;2,"ELIGIBLE FOR PROMOTION","")</f>
        <v>ELIGIBLE FOR PROMOTION</v>
      </c>
      <c r="BL22" t="str">
        <f t="shared" si="16"/>
        <v>EXPERIENCED</v>
      </c>
      <c r="BM22" t="str">
        <f t="shared" si="17"/>
        <v>TARGET ACHIEVED</v>
      </c>
      <c r="BN22" t="str">
        <f t="shared" si="18"/>
        <v>LOW Q3</v>
      </c>
      <c r="BO22" t="str">
        <f t="shared" si="19"/>
        <v>GOOD Q2</v>
      </c>
      <c r="BP22" t="str">
        <f t="shared" si="20"/>
        <v>BONUS</v>
      </c>
      <c r="BQ22" t="str">
        <f t="shared" si="21"/>
        <v/>
      </c>
      <c r="BR22" t="str">
        <f t="shared" si="22"/>
        <v>STAR PERFORMER</v>
      </c>
      <c r="BS22" t="str">
        <f t="shared" si="23"/>
        <v/>
      </c>
      <c r="BT22" t="str">
        <f t="shared" si="25"/>
        <v/>
      </c>
      <c r="BU22" t="s">
        <v>142</v>
      </c>
      <c r="BV22" t="s">
        <v>152</v>
      </c>
      <c r="BW22" t="s">
        <v>162</v>
      </c>
      <c r="BX22" t="s">
        <v>172</v>
      </c>
      <c r="BZ22">
        <v>21</v>
      </c>
      <c r="CA22" t="str">
        <f ca="1">_xlfn.FORMULATEXT(AG2)</f>
        <v>=COUNTA(A2:A31)</v>
      </c>
      <c r="CB22">
        <v>51</v>
      </c>
      <c r="CC22" t="str">
        <f ca="1">_xlfn.FORMULATEXT(BK2)</f>
        <v>=IF(DATEDIF(F2,TODAY(),"Y")&gt;2,"ELIGIBLE FOR PROMOTION","")</v>
      </c>
      <c r="CD22">
        <v>81</v>
      </c>
      <c r="CE22" t="str">
        <f ca="1">_xlfn.FORMULATEXT(BW2)</f>
        <v>=SUMIF(C2:C31,"HR",G2:G31)</v>
      </c>
    </row>
    <row r="23" spans="1:83" x14ac:dyDescent="0.3">
      <c r="A23" t="s">
        <v>57</v>
      </c>
      <c r="B23" t="s">
        <v>58</v>
      </c>
      <c r="C23" t="s">
        <v>13</v>
      </c>
      <c r="D23" s="1">
        <v>44144</v>
      </c>
      <c r="E23" s="1">
        <v>32316</v>
      </c>
      <c r="F23" s="1">
        <v>44650</v>
      </c>
      <c r="G23">
        <v>48000</v>
      </c>
      <c r="H23">
        <v>49000</v>
      </c>
      <c r="I23">
        <v>50000</v>
      </c>
      <c r="J23">
        <v>51000</v>
      </c>
      <c r="K23">
        <v>49000</v>
      </c>
      <c r="R23">
        <f ca="1">DATEDIF(E23,TODAY(),"Y")</f>
        <v>37</v>
      </c>
      <c r="T23">
        <f t="shared" si="0"/>
        <v>2020</v>
      </c>
      <c r="U23">
        <f t="shared" si="1"/>
        <v>11</v>
      </c>
      <c r="W23">
        <f t="shared" si="2"/>
        <v>1988</v>
      </c>
      <c r="X23">
        <f t="shared" si="3"/>
        <v>6</v>
      </c>
      <c r="Y23">
        <f t="shared" si="4"/>
        <v>22</v>
      </c>
      <c r="AX23">
        <f t="shared" si="5"/>
        <v>198000</v>
      </c>
      <c r="BA23" t="str">
        <f t="shared" si="6"/>
        <v>NO</v>
      </c>
      <c r="BB23" t="str">
        <f t="shared" si="7"/>
        <v>NO</v>
      </c>
      <c r="BC23" t="str">
        <f t="shared" si="8"/>
        <v>NO</v>
      </c>
      <c r="BD23" t="str">
        <f t="shared" si="9"/>
        <v>PASS</v>
      </c>
      <c r="BE23" t="str">
        <f t="shared" si="10"/>
        <v>Not On Target</v>
      </c>
      <c r="BF23" t="str">
        <f t="shared" si="11"/>
        <v/>
      </c>
      <c r="BG23" t="str">
        <f t="shared" si="12"/>
        <v>BELOW AVERAGE</v>
      </c>
      <c r="BH23" t="str">
        <f t="shared" si="13"/>
        <v>NORMAL</v>
      </c>
      <c r="BI23" t="str">
        <f t="shared" si="14"/>
        <v/>
      </c>
      <c r="BJ23" t="str">
        <f t="shared" si="15"/>
        <v/>
      </c>
      <c r="BK23" t="str">
        <f ca="1">IF(DATEDIF(F23,TODAY(),"Y")&gt;2,"ELIGIBLE FOR PROMOTION","")</f>
        <v>ELIGIBLE FOR PROMOTION</v>
      </c>
      <c r="BL23" t="str">
        <f t="shared" si="16"/>
        <v>EXPERIENCED</v>
      </c>
      <c r="BM23" t="str">
        <f t="shared" si="17"/>
        <v>TARGET ACHIEVED</v>
      </c>
      <c r="BN23" t="str">
        <f t="shared" si="18"/>
        <v/>
      </c>
      <c r="BO23" t="str">
        <f t="shared" si="19"/>
        <v/>
      </c>
      <c r="BP23" t="str">
        <f t="shared" si="20"/>
        <v/>
      </c>
      <c r="BQ23" t="str">
        <f t="shared" si="21"/>
        <v/>
      </c>
      <c r="BR23" t="str">
        <f t="shared" si="22"/>
        <v>STAR PERFORMER</v>
      </c>
      <c r="BS23" t="str">
        <f t="shared" si="23"/>
        <v/>
      </c>
      <c r="BT23" t="str">
        <f t="shared" si="25"/>
        <v/>
      </c>
      <c r="BU23">
        <f>COUNTIFS(C2:C31,"IT",J2:J31,"&gt;58000")</f>
        <v>2</v>
      </c>
      <c r="BV23">
        <f>AVERAGEIF(K2:K31,"&gt;52000",H2:H31)</f>
        <v>55416.666666666664</v>
      </c>
      <c r="BW23">
        <f>COUNTIFS(C2:C31,"MARKETING",J2:J31,"&gt;48000")</f>
        <v>3</v>
      </c>
      <c r="BX23">
        <f>AVERAGEIFS(G2:G31,D2:D31,"&gt;=01-01-2021",D2:D31,"&lt;=31-12-2021")</f>
        <v>52375</v>
      </c>
      <c r="BZ23">
        <v>22</v>
      </c>
      <c r="CA23" t="str">
        <f ca="1">_xlfn.FORMULATEXT(AH2)</f>
        <v>=COUNTIF(C2:C31,"HR")</v>
      </c>
      <c r="CB23">
        <v>52</v>
      </c>
      <c r="CC23" t="str">
        <f ca="1">_xlfn.FORMULATEXT(BL2)</f>
        <v>=IF(E2&lt;30,"YOUNG","EXPERIENCED")</v>
      </c>
      <c r="CD23">
        <v>82</v>
      </c>
      <c r="CE23" t="str">
        <f ca="1">_xlfn.FORMULATEXT(BW5)</f>
        <v>=SUMIF(C2:C31,"IT",H2:H31)</v>
      </c>
    </row>
    <row r="24" spans="1:83" x14ac:dyDescent="0.3">
      <c r="A24" t="s">
        <v>59</v>
      </c>
      <c r="B24" t="s">
        <v>60</v>
      </c>
      <c r="C24" t="s">
        <v>19</v>
      </c>
      <c r="D24" s="1">
        <v>44332</v>
      </c>
      <c r="E24" s="1">
        <v>34557</v>
      </c>
      <c r="F24" s="1">
        <v>44967</v>
      </c>
      <c r="G24">
        <v>53000</v>
      </c>
      <c r="H24">
        <v>54000</v>
      </c>
      <c r="I24">
        <v>55000</v>
      </c>
      <c r="J24">
        <v>56000</v>
      </c>
      <c r="K24">
        <v>54000</v>
      </c>
      <c r="R24">
        <f ca="1">DATEDIF(E24,TODAY(),"Y")</f>
        <v>31</v>
      </c>
      <c r="T24">
        <f t="shared" si="0"/>
        <v>2021</v>
      </c>
      <c r="U24">
        <f t="shared" si="1"/>
        <v>5</v>
      </c>
      <c r="W24">
        <f t="shared" si="2"/>
        <v>1994</v>
      </c>
      <c r="X24">
        <f t="shared" si="3"/>
        <v>8</v>
      </c>
      <c r="Y24">
        <f t="shared" si="4"/>
        <v>11</v>
      </c>
      <c r="AX24">
        <f t="shared" si="5"/>
        <v>218000</v>
      </c>
      <c r="BA24" t="str">
        <f t="shared" si="6"/>
        <v>NO</v>
      </c>
      <c r="BB24" t="str">
        <f t="shared" si="7"/>
        <v>YES</v>
      </c>
      <c r="BC24" t="str">
        <f t="shared" si="8"/>
        <v>YES</v>
      </c>
      <c r="BD24" t="str">
        <f t="shared" si="9"/>
        <v>PASS</v>
      </c>
      <c r="BE24" t="str">
        <f t="shared" si="10"/>
        <v>Not On Target</v>
      </c>
      <c r="BF24" t="str">
        <f t="shared" si="11"/>
        <v>ABOVE AVERAGE</v>
      </c>
      <c r="BG24" t="str">
        <f t="shared" si="12"/>
        <v/>
      </c>
      <c r="BH24" t="str">
        <f t="shared" si="13"/>
        <v>NORMAL</v>
      </c>
      <c r="BI24" t="str">
        <f t="shared" si="14"/>
        <v/>
      </c>
      <c r="BJ24" t="str">
        <f t="shared" si="15"/>
        <v/>
      </c>
      <c r="BK24" t="str">
        <f ca="1">IF(DATEDIF(F24,TODAY(),"Y")&gt;2,"ELIGIBLE FOR PROMOTION","")</f>
        <v>ELIGIBLE FOR PROMOTION</v>
      </c>
      <c r="BL24" t="str">
        <f t="shared" si="16"/>
        <v>EXPERIENCED</v>
      </c>
      <c r="BM24" t="str">
        <f t="shared" si="17"/>
        <v>TARGET ACHIEVED</v>
      </c>
      <c r="BN24" t="str">
        <f t="shared" si="18"/>
        <v/>
      </c>
      <c r="BO24" t="str">
        <f t="shared" si="19"/>
        <v/>
      </c>
      <c r="BP24" t="str">
        <f t="shared" si="20"/>
        <v/>
      </c>
      <c r="BQ24" t="str">
        <f t="shared" si="21"/>
        <v/>
      </c>
      <c r="BR24" t="str">
        <f t="shared" si="22"/>
        <v>STAR PERFORMER</v>
      </c>
      <c r="BS24" t="str">
        <f t="shared" si="23"/>
        <v/>
      </c>
      <c r="BT24" t="str">
        <f t="shared" si="25"/>
        <v/>
      </c>
      <c r="BZ24">
        <v>23</v>
      </c>
      <c r="CA24" t="str">
        <f ca="1">_xlfn.FORMULATEXT(AI2)</f>
        <v>=COUNTIF(C2:C31,"IT")</v>
      </c>
      <c r="CB24">
        <v>53</v>
      </c>
      <c r="CC24" t="str">
        <f ca="1">_xlfn.FORMULATEXT(BM2)</f>
        <v>=IF(SUM(G2:J2)&gt;=K2*4,"TARGET ACHIEVED","NOT ACHIEVED")</v>
      </c>
      <c r="CD24">
        <v>83</v>
      </c>
      <c r="CE24" t="str">
        <f ca="1">_xlfn.FORMULATEXT(BW8)</f>
        <v>=SUMIF(C2:C31,"FINANCE",I2:I31)</v>
      </c>
    </row>
    <row r="25" spans="1:83" x14ac:dyDescent="0.3">
      <c r="A25" t="s">
        <v>61</v>
      </c>
      <c r="B25" t="s">
        <v>62</v>
      </c>
      <c r="C25" t="s">
        <v>22</v>
      </c>
      <c r="D25" s="1">
        <v>43737</v>
      </c>
      <c r="E25" s="1">
        <v>33266</v>
      </c>
      <c r="F25" s="1">
        <v>44390</v>
      </c>
      <c r="G25">
        <v>45000</v>
      </c>
      <c r="H25">
        <v>46000</v>
      </c>
      <c r="I25">
        <v>47000</v>
      </c>
      <c r="J25">
        <v>48000</v>
      </c>
      <c r="K25">
        <v>46000</v>
      </c>
      <c r="R25">
        <f ca="1">DATEDIF(E25,TODAY(),"Y")</f>
        <v>35</v>
      </c>
      <c r="T25">
        <f t="shared" si="0"/>
        <v>2019</v>
      </c>
      <c r="U25">
        <f t="shared" si="1"/>
        <v>9</v>
      </c>
      <c r="W25">
        <f t="shared" si="2"/>
        <v>1991</v>
      </c>
      <c r="X25">
        <f t="shared" si="3"/>
        <v>1</v>
      </c>
      <c r="Y25">
        <f t="shared" si="4"/>
        <v>28</v>
      </c>
      <c r="AX25">
        <f t="shared" si="5"/>
        <v>186000</v>
      </c>
      <c r="BA25" t="str">
        <f t="shared" si="6"/>
        <v>NO</v>
      </c>
      <c r="BB25" t="str">
        <f t="shared" si="7"/>
        <v>NO</v>
      </c>
      <c r="BC25" t="str">
        <f t="shared" si="8"/>
        <v>YES</v>
      </c>
      <c r="BD25" t="str">
        <f t="shared" si="9"/>
        <v>PASS</v>
      </c>
      <c r="BE25" t="str">
        <f t="shared" si="10"/>
        <v>Not On Target</v>
      </c>
      <c r="BF25" t="str">
        <f t="shared" si="11"/>
        <v/>
      </c>
      <c r="BG25" t="str">
        <f t="shared" si="12"/>
        <v>BELOW AVERAGE</v>
      </c>
      <c r="BH25" t="str">
        <f>IF(SUM(G25:J25)&gt;2000000,"HIGH PERFORMER","NORMAL")</f>
        <v>NORMAL</v>
      </c>
      <c r="BI25" t="str">
        <f t="shared" si="14"/>
        <v/>
      </c>
      <c r="BJ25" t="str">
        <f t="shared" si="15"/>
        <v>OLD EMPLOYEE</v>
      </c>
      <c r="BK25" t="str">
        <f ca="1">IF(DATEDIF(F25,TODAY(),"Y")&gt;2,"ELIGIBLE FOR PROMOTION","")</f>
        <v>ELIGIBLE FOR PROMOTION</v>
      </c>
      <c r="BL25" t="str">
        <f t="shared" si="16"/>
        <v>EXPERIENCED</v>
      </c>
      <c r="BM25" t="str">
        <f t="shared" si="17"/>
        <v>TARGET ACHIEVED</v>
      </c>
      <c r="BN25" t="str">
        <f t="shared" si="18"/>
        <v/>
      </c>
      <c r="BO25" t="str">
        <f t="shared" si="19"/>
        <v/>
      </c>
      <c r="BP25" t="str">
        <f t="shared" si="20"/>
        <v/>
      </c>
      <c r="BQ25" t="str">
        <f t="shared" si="21"/>
        <v>NEEDS TRAINING</v>
      </c>
      <c r="BR25" t="str">
        <f t="shared" si="22"/>
        <v>STAR PERFORMER</v>
      </c>
      <c r="BS25" t="str">
        <f t="shared" si="23"/>
        <v/>
      </c>
      <c r="BT25" t="str">
        <f t="shared" si="25"/>
        <v/>
      </c>
      <c r="BU25" t="s">
        <v>143</v>
      </c>
      <c r="BV25" t="s">
        <v>153</v>
      </c>
      <c r="BW25" t="s">
        <v>163</v>
      </c>
      <c r="BX25" t="s">
        <v>173</v>
      </c>
      <c r="BZ25">
        <v>24</v>
      </c>
      <c r="CA25" t="str">
        <f ca="1">_xlfn.FORMULATEXT(AJ2)</f>
        <v>=SUM(G2:G31)</v>
      </c>
      <c r="CB25">
        <v>54</v>
      </c>
      <c r="CC25" t="str">
        <f ca="1">_xlfn.FORMULATEXT(BN2)</f>
        <v>=IF(I1&lt;50000,"LOW Q3","")</v>
      </c>
      <c r="CD25">
        <v>84</v>
      </c>
      <c r="CE25" t="str">
        <f ca="1">_xlfn.FORMULATEXT(BW11)</f>
        <v>=SUMIF(C2:C31,"MARKETING",J2:J31)</v>
      </c>
    </row>
    <row r="26" spans="1:83" x14ac:dyDescent="0.3">
      <c r="A26" t="s">
        <v>63</v>
      </c>
      <c r="B26" t="s">
        <v>64</v>
      </c>
      <c r="C26" t="s">
        <v>16</v>
      </c>
      <c r="D26" s="1">
        <v>44760</v>
      </c>
      <c r="E26" s="1">
        <v>34994</v>
      </c>
      <c r="F26" s="1">
        <v>45047</v>
      </c>
      <c r="G26">
        <v>57000</v>
      </c>
      <c r="H26">
        <v>58000</v>
      </c>
      <c r="I26">
        <v>59000</v>
      </c>
      <c r="J26">
        <v>60000</v>
      </c>
      <c r="K26">
        <v>58000</v>
      </c>
      <c r="R26">
        <f ca="1">DATEDIF(E26,TODAY(),"Y")</f>
        <v>30</v>
      </c>
      <c r="T26">
        <f t="shared" si="0"/>
        <v>2022</v>
      </c>
      <c r="U26">
        <f t="shared" si="1"/>
        <v>7</v>
      </c>
      <c r="W26">
        <f t="shared" si="2"/>
        <v>1995</v>
      </c>
      <c r="X26">
        <f t="shared" si="3"/>
        <v>10</v>
      </c>
      <c r="Y26">
        <f t="shared" si="4"/>
        <v>22</v>
      </c>
      <c r="AX26">
        <f t="shared" si="5"/>
        <v>234000</v>
      </c>
      <c r="BA26" t="str">
        <f t="shared" si="6"/>
        <v>NO</v>
      </c>
      <c r="BB26" t="str">
        <f t="shared" si="7"/>
        <v>YES</v>
      </c>
      <c r="BC26" t="str">
        <f t="shared" si="8"/>
        <v>YES</v>
      </c>
      <c r="BD26" t="str">
        <f>IF(J26&gt;K26,"PASS","FAIL")</f>
        <v>PASS</v>
      </c>
      <c r="BE26" t="str">
        <f t="shared" si="10"/>
        <v>Not On Target</v>
      </c>
      <c r="BF26" t="str">
        <f t="shared" si="11"/>
        <v>ABOVE AVERAGE</v>
      </c>
      <c r="BG26" t="str">
        <f t="shared" si="12"/>
        <v/>
      </c>
      <c r="BH26" t="str">
        <f t="shared" si="13"/>
        <v>NORMAL</v>
      </c>
      <c r="BI26" t="str">
        <f t="shared" si="14"/>
        <v>NEW JOINER</v>
      </c>
      <c r="BJ26" t="str">
        <f t="shared" si="15"/>
        <v/>
      </c>
      <c r="BK26" t="str">
        <f ca="1">IF(DATEDIF(F26,TODAY(),"Y")&gt;2,"ELIGIBLE FOR PROMOTION","")</f>
        <v/>
      </c>
      <c r="BL26" t="str">
        <f t="shared" si="16"/>
        <v>EXPERIENCED</v>
      </c>
      <c r="BM26" t="str">
        <f t="shared" si="17"/>
        <v>TARGET ACHIEVED</v>
      </c>
      <c r="BN26" t="str">
        <f t="shared" si="18"/>
        <v>LOW Q3</v>
      </c>
      <c r="BO26" t="str">
        <f t="shared" si="19"/>
        <v>GOOD Q2</v>
      </c>
      <c r="BP26" t="str">
        <f t="shared" si="20"/>
        <v>BONUS</v>
      </c>
      <c r="BQ26" t="str">
        <f t="shared" si="21"/>
        <v/>
      </c>
      <c r="BR26" t="str">
        <f t="shared" si="22"/>
        <v>STAR PERFORMER</v>
      </c>
      <c r="BS26" t="str">
        <f t="shared" si="23"/>
        <v/>
      </c>
      <c r="BT26" t="str">
        <f t="shared" si="25"/>
        <v/>
      </c>
      <c r="BU26">
        <f>AVERAGEIF(C2:C31,"IT",G2:G31)</f>
        <v>53625</v>
      </c>
      <c r="BV26">
        <f>AVERAGEIF(K2:K31,"&gt;54000",I2:I31)</f>
        <v>57428.571428571428</v>
      </c>
      <c r="BW26">
        <f>AVERAGEIFS(G2:G31,C2:C31,"HR")</f>
        <v>48250</v>
      </c>
      <c r="BX26">
        <f>AVERAGEIFS(G2:G31,D2:D31,"&gt;=01-01-2020",D2:D31,"&lt;=31-12-2020")</f>
        <v>49000</v>
      </c>
      <c r="BZ26">
        <v>25</v>
      </c>
      <c r="CA26" t="str">
        <f ca="1">_xlfn.FORMULATEXT(AK2)</f>
        <v>=SUM(H2:H31)</v>
      </c>
      <c r="CB26">
        <v>55</v>
      </c>
      <c r="CC26" t="str">
        <f ca="1">_xlfn.FORMULATEXT(BO2)</f>
        <v>=IF(H2&gt;55000,"GOOD Q2","")</v>
      </c>
      <c r="CD26">
        <v>85</v>
      </c>
      <c r="CE26" t="str">
        <f ca="1">_xlfn.FORMULATEXT(BW14)</f>
        <v>=COUNTIFS(C2:C31,"HR",G2:G31,"&gt;48000")</v>
      </c>
    </row>
    <row r="27" spans="1:83" x14ac:dyDescent="0.3">
      <c r="A27" t="s">
        <v>65</v>
      </c>
      <c r="B27" t="s">
        <v>66</v>
      </c>
      <c r="C27" t="s">
        <v>13</v>
      </c>
      <c r="D27" s="1">
        <v>43947</v>
      </c>
      <c r="E27" s="1">
        <v>34096</v>
      </c>
      <c r="F27" s="1">
        <v>44791</v>
      </c>
      <c r="G27">
        <v>49000</v>
      </c>
      <c r="H27">
        <v>50000</v>
      </c>
      <c r="I27">
        <v>51000</v>
      </c>
      <c r="J27">
        <v>52000</v>
      </c>
      <c r="K27">
        <v>50000</v>
      </c>
      <c r="R27">
        <f ca="1">DATEDIF(E27,TODAY(),"Y")</f>
        <v>32</v>
      </c>
      <c r="T27">
        <f t="shared" si="0"/>
        <v>2020</v>
      </c>
      <c r="U27">
        <f t="shared" si="1"/>
        <v>4</v>
      </c>
      <c r="W27">
        <f t="shared" si="2"/>
        <v>1993</v>
      </c>
      <c r="X27">
        <f t="shared" si="3"/>
        <v>5</v>
      </c>
      <c r="Y27">
        <f t="shared" si="4"/>
        <v>7</v>
      </c>
      <c r="AX27">
        <f t="shared" si="5"/>
        <v>202000</v>
      </c>
      <c r="BA27" t="str">
        <f t="shared" si="6"/>
        <v>NO</v>
      </c>
      <c r="BB27" t="str">
        <f t="shared" si="7"/>
        <v>NO</v>
      </c>
      <c r="BC27" t="str">
        <f t="shared" si="8"/>
        <v>NO</v>
      </c>
      <c r="BD27" t="str">
        <f t="shared" si="9"/>
        <v>PASS</v>
      </c>
      <c r="BE27" t="str">
        <f t="shared" si="10"/>
        <v>Not On Target</v>
      </c>
      <c r="BF27" t="str">
        <f t="shared" si="11"/>
        <v/>
      </c>
      <c r="BG27" t="str">
        <f t="shared" si="12"/>
        <v>BELOW AVERAGE</v>
      </c>
      <c r="BH27" t="str">
        <f t="shared" si="13"/>
        <v>NORMAL</v>
      </c>
      <c r="BI27" t="str">
        <f t="shared" si="14"/>
        <v/>
      </c>
      <c r="BJ27" t="str">
        <f t="shared" si="15"/>
        <v/>
      </c>
      <c r="BK27" t="str">
        <f ca="1">IF(DATEDIF(F27,TODAY(),"Y")&gt;2,"ELIGIBLE FOR PROMOTION","")</f>
        <v>ELIGIBLE FOR PROMOTION</v>
      </c>
      <c r="BL27" t="str">
        <f t="shared" si="16"/>
        <v>EXPERIENCED</v>
      </c>
      <c r="BM27" t="str">
        <f t="shared" si="17"/>
        <v>TARGET ACHIEVED</v>
      </c>
      <c r="BN27" t="str">
        <f>IF(I26&lt;50000,"LOW Q3","")</f>
        <v/>
      </c>
      <c r="BO27" t="str">
        <f t="shared" si="19"/>
        <v/>
      </c>
      <c r="BP27" t="str">
        <f t="shared" si="20"/>
        <v/>
      </c>
      <c r="BQ27" t="str">
        <f>IF(G27&lt;48000,"NEEDS TRAINING","")</f>
        <v/>
      </c>
      <c r="BR27" t="str">
        <f t="shared" si="22"/>
        <v>STAR PERFORMER</v>
      </c>
      <c r="BS27" t="str">
        <f>IF(OR(H27&lt;45000,J27&lt;45000),"CHECK","")</f>
        <v/>
      </c>
      <c r="BT27" t="str">
        <f t="shared" si="25"/>
        <v/>
      </c>
      <c r="BZ27">
        <v>26</v>
      </c>
      <c r="CA27" t="str">
        <f ca="1">_xlfn.FORMULATEXT(AL2)</f>
        <v>=SUM(I2:I31)</v>
      </c>
      <c r="CB27">
        <v>56</v>
      </c>
      <c r="CC27" t="str">
        <f ca="1">_xlfn.FORMULATEXT(BP2)</f>
        <v>=IF(AND(J2&gt;55000,C2="IT"),"BONUS","")</v>
      </c>
      <c r="CD27">
        <v>86</v>
      </c>
      <c r="CE27" t="str">
        <f ca="1">_xlfn.FORMULATEXT(BW17)</f>
        <v>=COUNTIFS(C2:C31,"IT",H2:H31,"&gt;53000")</v>
      </c>
    </row>
    <row r="28" spans="1:83" x14ac:dyDescent="0.3">
      <c r="A28" t="s">
        <v>67</v>
      </c>
      <c r="B28" t="s">
        <v>68</v>
      </c>
      <c r="C28" t="s">
        <v>19</v>
      </c>
      <c r="D28" s="1">
        <v>44538</v>
      </c>
      <c r="E28" s="1">
        <v>33649</v>
      </c>
      <c r="F28" s="1">
        <v>44990</v>
      </c>
      <c r="G28">
        <v>54000</v>
      </c>
      <c r="H28">
        <v>55000</v>
      </c>
      <c r="I28">
        <v>56000</v>
      </c>
      <c r="J28">
        <v>57000</v>
      </c>
      <c r="K28">
        <v>55000</v>
      </c>
      <c r="R28">
        <f ca="1">DATEDIF(E28,TODAY(),"Y")</f>
        <v>34</v>
      </c>
      <c r="T28">
        <f t="shared" si="0"/>
        <v>2021</v>
      </c>
      <c r="U28">
        <f t="shared" si="1"/>
        <v>12</v>
      </c>
      <c r="W28">
        <f t="shared" si="2"/>
        <v>1992</v>
      </c>
      <c r="X28">
        <f>MONTH(E28)</f>
        <v>2</v>
      </c>
      <c r="Y28">
        <f t="shared" si="4"/>
        <v>15</v>
      </c>
      <c r="AX28">
        <f t="shared" si="5"/>
        <v>222000</v>
      </c>
      <c r="BA28" t="str">
        <f>IF(G28&gt;K28,"YES","NO")</f>
        <v>NO</v>
      </c>
      <c r="BB28" t="str">
        <f t="shared" si="7"/>
        <v>YES</v>
      </c>
      <c r="BC28" t="str">
        <f>IF(NOT(C28="HR"),"YES","NO")</f>
        <v>YES</v>
      </c>
      <c r="BD28" t="str">
        <f t="shared" si="9"/>
        <v>PASS</v>
      </c>
      <c r="BE28" t="str">
        <f t="shared" si="10"/>
        <v>Not On Target</v>
      </c>
      <c r="BF28" t="str">
        <f t="shared" si="11"/>
        <v>ABOVE AVERAGE</v>
      </c>
      <c r="BG28" t="str">
        <f t="shared" si="12"/>
        <v/>
      </c>
      <c r="BH28" t="str">
        <f t="shared" si="13"/>
        <v>NORMAL</v>
      </c>
      <c r="BI28" t="str">
        <f t="shared" si="14"/>
        <v/>
      </c>
      <c r="BJ28" t="str">
        <f t="shared" si="15"/>
        <v/>
      </c>
      <c r="BK28" t="str">
        <f ca="1">IF(DATEDIF(F28,TODAY(),"Y")&gt;2,"ELIGIBLE FOR PROMOTION","")</f>
        <v>ELIGIBLE FOR PROMOTION</v>
      </c>
      <c r="BL28" t="str">
        <f t="shared" si="16"/>
        <v>EXPERIENCED</v>
      </c>
      <c r="BM28" t="str">
        <f t="shared" si="17"/>
        <v>TARGET ACHIEVED</v>
      </c>
      <c r="BN28" t="str">
        <f t="shared" si="18"/>
        <v/>
      </c>
      <c r="BO28" t="str">
        <f t="shared" si="19"/>
        <v/>
      </c>
      <c r="BP28" t="str">
        <f t="shared" si="20"/>
        <v/>
      </c>
      <c r="BQ28" t="str">
        <f t="shared" si="21"/>
        <v/>
      </c>
      <c r="BR28" t="str">
        <f t="shared" si="22"/>
        <v>STAR PERFORMER</v>
      </c>
      <c r="BS28" t="str">
        <f t="shared" si="23"/>
        <v/>
      </c>
      <c r="BT28" t="str">
        <f t="shared" si="25"/>
        <v/>
      </c>
      <c r="BU28" t="s">
        <v>144</v>
      </c>
      <c r="BV28" t="s">
        <v>154</v>
      </c>
      <c r="BW28" t="s">
        <v>164</v>
      </c>
      <c r="BX28" t="s">
        <v>174</v>
      </c>
      <c r="BZ28">
        <v>27</v>
      </c>
      <c r="CA28" t="str">
        <f ca="1">_xlfn.FORMULATEXT(AM2)</f>
        <v>=SUM(J2:J31)</v>
      </c>
      <c r="CB28">
        <v>57</v>
      </c>
      <c r="CC28" t="str">
        <f ca="1">_xlfn.FORMULATEXT(BQ2)</f>
        <v>=IF(G2&lt;48000,"NEEDS TRAINING","")</v>
      </c>
      <c r="CD28">
        <v>87</v>
      </c>
      <c r="CE28" t="str">
        <f ca="1">_xlfn.FORMULATEXT(BW20)</f>
        <v>=COUNTIFS(C2:C31,"IT",I2:I31,"&gt;55000")</v>
      </c>
    </row>
    <row r="29" spans="1:83" x14ac:dyDescent="0.3">
      <c r="A29" t="s">
        <v>69</v>
      </c>
      <c r="B29" t="s">
        <v>70</v>
      </c>
      <c r="C29" t="s">
        <v>22</v>
      </c>
      <c r="D29" s="1">
        <v>43406</v>
      </c>
      <c r="E29" s="1">
        <v>33118</v>
      </c>
      <c r="F29" s="1">
        <v>44300</v>
      </c>
      <c r="G29">
        <v>44000</v>
      </c>
      <c r="H29">
        <v>45000</v>
      </c>
      <c r="I29">
        <v>46000</v>
      </c>
      <c r="J29">
        <v>47000</v>
      </c>
      <c r="K29">
        <v>45000</v>
      </c>
      <c r="R29">
        <f ca="1">DATEDIF(E29,TODAY(),"Y")</f>
        <v>35</v>
      </c>
      <c r="T29">
        <f t="shared" si="0"/>
        <v>2018</v>
      </c>
      <c r="U29">
        <f t="shared" si="1"/>
        <v>11</v>
      </c>
      <c r="W29">
        <f t="shared" si="2"/>
        <v>1990</v>
      </c>
      <c r="X29">
        <f t="shared" si="3"/>
        <v>9</v>
      </c>
      <c r="Y29">
        <f t="shared" si="4"/>
        <v>2</v>
      </c>
      <c r="AX29">
        <f t="shared" si="5"/>
        <v>182000</v>
      </c>
      <c r="BA29" t="str">
        <f t="shared" si="6"/>
        <v>NO</v>
      </c>
      <c r="BB29" t="str">
        <f t="shared" si="7"/>
        <v>NO</v>
      </c>
      <c r="BC29" t="str">
        <f t="shared" si="8"/>
        <v>YES</v>
      </c>
      <c r="BD29" t="str">
        <f t="shared" si="9"/>
        <v>PASS</v>
      </c>
      <c r="BE29" t="str">
        <f t="shared" si="10"/>
        <v>Not On Target</v>
      </c>
      <c r="BF29" t="str">
        <f>IF(G29&gt;AVERAGE(G29:G58),"ABOVE AVERAGE","")</f>
        <v/>
      </c>
      <c r="BG29" t="str">
        <f t="shared" si="12"/>
        <v>BELOW AVERAGE</v>
      </c>
      <c r="BH29" t="str">
        <f t="shared" si="13"/>
        <v>NORMAL</v>
      </c>
      <c r="BI29" t="str">
        <f t="shared" si="14"/>
        <v/>
      </c>
      <c r="BJ29" t="str">
        <f t="shared" si="15"/>
        <v>OLD EMPLOYEE</v>
      </c>
      <c r="BK29" t="str">
        <f ca="1">IF(DATEDIF(F29,TODAY(),"Y")&gt;2,"ELIGIBLE FOR PROMOTION","")</f>
        <v>ELIGIBLE FOR PROMOTION</v>
      </c>
      <c r="BL29" t="str">
        <f>IF(E29&lt;30,"YOUNG","EXPERIENCED")</f>
        <v>EXPERIENCED</v>
      </c>
      <c r="BM29" t="str">
        <f t="shared" si="17"/>
        <v>TARGET ACHIEVED</v>
      </c>
      <c r="BN29" t="str">
        <f t="shared" si="18"/>
        <v/>
      </c>
      <c r="BO29" t="str">
        <f t="shared" si="19"/>
        <v/>
      </c>
      <c r="BP29" t="str">
        <f t="shared" si="20"/>
        <v/>
      </c>
      <c r="BQ29" t="str">
        <f t="shared" si="21"/>
        <v>NEEDS TRAINING</v>
      </c>
      <c r="BR29" t="str">
        <f t="shared" si="22"/>
        <v>STAR PERFORMER</v>
      </c>
      <c r="BS29" t="str">
        <f t="shared" si="23"/>
        <v/>
      </c>
      <c r="BT29" t="str">
        <f t="shared" si="25"/>
        <v/>
      </c>
      <c r="BU29">
        <f>AVERAGEIF(C2:C31,"IT",H2:H31)</f>
        <v>54750</v>
      </c>
      <c r="BV29">
        <f>AVERAGEIF(K2:K31,"&gt;55000",J2:J31)</f>
        <v>59750</v>
      </c>
      <c r="BW29">
        <f>AVERAGEIFS(H2:H31,C2:C31,"IT")</f>
        <v>54750</v>
      </c>
      <c r="BX29">
        <f>AVERAGEIFS(G2:G31,D2:D31,"&gt;=01-01-2019",D2:D31,"&lt;=31-12-2019")</f>
        <v>49166.666666666664</v>
      </c>
      <c r="BZ29">
        <v>28</v>
      </c>
      <c r="CA29" t="str">
        <f ca="1">_xlfn.FORMULATEXT(AN2)</f>
        <v>=AVERAGE(G2:G31)</v>
      </c>
      <c r="CB29">
        <v>58</v>
      </c>
      <c r="CC29" t="str">
        <f ca="1">_xlfn.FORMULATEXT(BR2)</f>
        <v>=IF(AX2&gt;55000,"STAR PERFORMER","")</v>
      </c>
      <c r="CD29">
        <v>88</v>
      </c>
      <c r="CE29" t="str">
        <f ca="1">_xlfn.FORMULATEXT(BW23)</f>
        <v>=COUNTIFS(C2:C31,"MARKETING",J2:J31,"&gt;48000")</v>
      </c>
    </row>
    <row r="30" spans="1:83" x14ac:dyDescent="0.3">
      <c r="A30" t="s">
        <v>71</v>
      </c>
      <c r="B30" t="s">
        <v>72</v>
      </c>
      <c r="C30" t="s">
        <v>16</v>
      </c>
      <c r="D30" s="1">
        <v>43606</v>
      </c>
      <c r="E30" s="1">
        <v>34697</v>
      </c>
      <c r="F30" s="1">
        <v>44417</v>
      </c>
      <c r="G30">
        <v>52000</v>
      </c>
      <c r="H30">
        <v>53000</v>
      </c>
      <c r="I30">
        <v>54000</v>
      </c>
      <c r="J30">
        <v>55000</v>
      </c>
      <c r="K30">
        <v>53000</v>
      </c>
      <c r="R30">
        <f ca="1">DATEDIF(E30,TODAY(),"Y")</f>
        <v>31</v>
      </c>
      <c r="T30">
        <f t="shared" si="0"/>
        <v>2019</v>
      </c>
      <c r="U30">
        <f t="shared" si="1"/>
        <v>5</v>
      </c>
      <c r="W30">
        <f t="shared" si="2"/>
        <v>1994</v>
      </c>
      <c r="X30">
        <f t="shared" si="3"/>
        <v>12</v>
      </c>
      <c r="Y30">
        <f t="shared" si="4"/>
        <v>29</v>
      </c>
      <c r="AX30">
        <f t="shared" si="5"/>
        <v>214000</v>
      </c>
      <c r="BA30" t="str">
        <f t="shared" si="6"/>
        <v>NO</v>
      </c>
      <c r="BB30" t="str">
        <f t="shared" si="7"/>
        <v>YES</v>
      </c>
      <c r="BC30" t="str">
        <f t="shared" si="8"/>
        <v>YES</v>
      </c>
      <c r="BD30" t="str">
        <f>IF(J30&gt;K30,"PASS","FAIL")</f>
        <v>PASS</v>
      </c>
      <c r="BE30" t="str">
        <f t="shared" si="10"/>
        <v>Not On Target</v>
      </c>
      <c r="BF30" t="str">
        <f t="shared" si="11"/>
        <v>ABOVE AVERAGE</v>
      </c>
      <c r="BG30" t="str">
        <f t="shared" si="12"/>
        <v/>
      </c>
      <c r="BH30" t="str">
        <f t="shared" si="13"/>
        <v>NORMAL</v>
      </c>
      <c r="BI30" t="str">
        <f t="shared" si="14"/>
        <v/>
      </c>
      <c r="BJ30" t="str">
        <f t="shared" si="15"/>
        <v>OLD EMPLOYEE</v>
      </c>
      <c r="BK30" t="str">
        <f ca="1">IF(DATEDIF(F30,TODAY(),"Y")&gt;2,"ELIGIBLE FOR PROMOTION","")</f>
        <v>ELIGIBLE FOR PROMOTION</v>
      </c>
      <c r="BL30" t="str">
        <f t="shared" si="16"/>
        <v>EXPERIENCED</v>
      </c>
      <c r="BM30" t="str">
        <f t="shared" si="17"/>
        <v>TARGET ACHIEVED</v>
      </c>
      <c r="BN30" t="str">
        <f t="shared" si="18"/>
        <v>LOW Q3</v>
      </c>
      <c r="BO30" t="str">
        <f t="shared" si="19"/>
        <v/>
      </c>
      <c r="BP30" t="str">
        <f t="shared" si="20"/>
        <v/>
      </c>
      <c r="BQ30" t="str">
        <f t="shared" si="21"/>
        <v/>
      </c>
      <c r="BR30" t="str">
        <f>IF(AX30&gt;55000,"STAR PERFORMER","")</f>
        <v>STAR PERFORMER</v>
      </c>
      <c r="BS30" t="str">
        <f t="shared" si="23"/>
        <v/>
      </c>
      <c r="BT30" t="str">
        <f t="shared" si="25"/>
        <v/>
      </c>
      <c r="BZ30">
        <v>29</v>
      </c>
      <c r="CA30" t="str">
        <f ca="1">_xlfn.FORMULATEXT(AO2)</f>
        <v>=AVERAGE(H2:H31)</v>
      </c>
      <c r="CB30">
        <v>59</v>
      </c>
      <c r="CC30" t="str">
        <f ca="1">_xlfn.FORMULATEXT(BS2)</f>
        <v>=IF(OR(H2&lt;45000,J2&lt;45000),"CHECK","")</v>
      </c>
      <c r="CD30">
        <v>89</v>
      </c>
      <c r="CE30" t="str">
        <f ca="1">_xlfn.FORMULATEXT(BW26)</f>
        <v>=AVERAGEIFS(G2:G31,C2:C31,"HR")</v>
      </c>
    </row>
    <row r="31" spans="1:83" x14ac:dyDescent="0.3">
      <c r="A31" t="s">
        <v>73</v>
      </c>
      <c r="B31" t="s">
        <v>74</v>
      </c>
      <c r="C31" t="s">
        <v>13</v>
      </c>
      <c r="D31" s="1">
        <v>44481</v>
      </c>
      <c r="E31" s="1">
        <v>32616</v>
      </c>
      <c r="F31" s="1">
        <v>44985</v>
      </c>
      <c r="G31">
        <v>50000</v>
      </c>
      <c r="H31">
        <v>51000</v>
      </c>
      <c r="I31">
        <v>52000</v>
      </c>
      <c r="J31">
        <v>53000</v>
      </c>
      <c r="K31">
        <v>51000</v>
      </c>
      <c r="R31">
        <f ca="1">DATEDIF(E31,TODAY(),"Y")</f>
        <v>36</v>
      </c>
      <c r="T31">
        <f t="shared" si="0"/>
        <v>2021</v>
      </c>
      <c r="U31">
        <f>MONTH(D31)</f>
        <v>10</v>
      </c>
      <c r="W31">
        <f t="shared" si="2"/>
        <v>1989</v>
      </c>
      <c r="X31">
        <f t="shared" si="3"/>
        <v>4</v>
      </c>
      <c r="Y31">
        <f t="shared" si="4"/>
        <v>18</v>
      </c>
      <c r="AX31">
        <f t="shared" si="5"/>
        <v>206000</v>
      </c>
      <c r="BA31" t="str">
        <f t="shared" si="6"/>
        <v>NO</v>
      </c>
      <c r="BB31" t="str">
        <f t="shared" si="7"/>
        <v>YES</v>
      </c>
      <c r="BC31" t="str">
        <f>IF(NOT(C31="HR"),"YES","NO")</f>
        <v>NO</v>
      </c>
      <c r="BD31" t="str">
        <f>IF(J31&gt;K31,"PASS","FAIL")</f>
        <v>PASS</v>
      </c>
      <c r="BE31" t="str">
        <f t="shared" si="10"/>
        <v>Not On Target</v>
      </c>
      <c r="BF31" t="str">
        <f t="shared" si="11"/>
        <v/>
      </c>
      <c r="BG31" t="str">
        <f t="shared" si="12"/>
        <v/>
      </c>
      <c r="BH31" t="str">
        <f t="shared" si="13"/>
        <v>NORMAL</v>
      </c>
      <c r="BI31" t="str">
        <f t="shared" si="14"/>
        <v/>
      </c>
      <c r="BJ31" t="str">
        <f t="shared" si="15"/>
        <v/>
      </c>
      <c r="BK31" t="str">
        <f ca="1">IF(DATEDIF(F31,TODAY(),"Y")&gt;2,"ELIGIBLE FOR PROMOTION","")</f>
        <v>ELIGIBLE FOR PROMOTION</v>
      </c>
      <c r="BL31" t="str">
        <f t="shared" si="16"/>
        <v>EXPERIENCED</v>
      </c>
      <c r="BM31" t="str">
        <f t="shared" si="17"/>
        <v>TARGET ACHIEVED</v>
      </c>
      <c r="BN31" t="str">
        <f t="shared" si="18"/>
        <v/>
      </c>
      <c r="BO31" t="str">
        <f t="shared" si="19"/>
        <v/>
      </c>
      <c r="BP31" t="str">
        <f t="shared" si="20"/>
        <v/>
      </c>
      <c r="BQ31" t="str">
        <f t="shared" si="21"/>
        <v/>
      </c>
      <c r="BR31" t="str">
        <f t="shared" si="22"/>
        <v>STAR PERFORMER</v>
      </c>
      <c r="BS31" t="str">
        <f t="shared" si="23"/>
        <v/>
      </c>
      <c r="BT31" t="str">
        <f t="shared" si="25"/>
        <v/>
      </c>
      <c r="BZ31">
        <v>30</v>
      </c>
      <c r="CA31" t="str">
        <f ca="1">_xlfn.FORMULATEXT(AP2)</f>
        <v>=AVERAGE(I2:I31)</v>
      </c>
      <c r="CB31">
        <v>60</v>
      </c>
      <c r="CC31" t="str">
        <f ca="1">_xlfn.FORMULATEXT(BT2)</f>
        <v>=IF(AND(G2&gt;=K2,H2&gt;=K2),"OK","")</v>
      </c>
      <c r="CD31">
        <v>90</v>
      </c>
      <c r="CE31" t="str">
        <f ca="1">_xlfn.FORMULATEXT(BW29)</f>
        <v>=AVERAGEIFS(H2:H31,C2:C31,"IT")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kotaalekhya31@outlook.com</dc:creator>
  <cp:lastModifiedBy>kotaalekhya31@outlook.com</cp:lastModifiedBy>
  <dcterms:created xsi:type="dcterms:W3CDTF">2026-03-11T02:49:14Z</dcterms:created>
  <dcterms:modified xsi:type="dcterms:W3CDTF">2026-03-12T10:39:41Z</dcterms:modified>
</cp:coreProperties>
</file>